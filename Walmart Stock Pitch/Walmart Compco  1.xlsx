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lee9\Desktop\AI\Code Test\Walmart Stock Pitch\"/>
    </mc:Choice>
  </mc:AlternateContent>
  <xr:revisionPtr revIDLastSave="0" documentId="8_{F15F0989-C09D-466A-967C-1DA17D16E0FE}" xr6:coauthVersionLast="47" xr6:coauthVersionMax="47" xr10:uidLastSave="{00000000-0000-0000-0000-000000000000}"/>
  <bookViews>
    <workbookView xWindow="-110" yWindow="-110" windowWidth="19420" windowHeight="11500" firstSheet="2" xr2:uid="{B9909755-09BA-438B-9BB9-2F1D09A824C4}"/>
  </bookViews>
  <sheets>
    <sheet name="Sheet1" sheetId="1" r:id="rId1"/>
    <sheet name="Sheet2" sheetId="2" r:id="rId2"/>
    <sheet name="Sheet3"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4" i="3"/>
  <c r="B3" i="3"/>
  <c r="D3" i="3"/>
  <c r="C4" i="3"/>
  <c r="B4" i="3"/>
  <c r="C5" i="3"/>
  <c r="C3" i="3"/>
  <c r="B5" i="3"/>
  <c r="T4" i="1"/>
  <c r="T5" i="1"/>
  <c r="T6" i="1"/>
  <c r="T7" i="1"/>
  <c r="T8" i="1"/>
  <c r="T9" i="1"/>
  <c r="N26" i="2"/>
  <c r="M26" i="2"/>
  <c r="L26" i="2"/>
  <c r="I26" i="2"/>
  <c r="H26" i="2"/>
  <c r="G26" i="2"/>
  <c r="N19" i="2"/>
  <c r="M19" i="2"/>
  <c r="L19" i="2"/>
  <c r="I19" i="2"/>
  <c r="H19" i="2"/>
  <c r="G19" i="2"/>
  <c r="D19" i="2"/>
  <c r="C19" i="2"/>
  <c r="D26" i="2"/>
  <c r="C26" i="2"/>
  <c r="B26" i="2"/>
  <c r="C21" i="2" l="1"/>
  <c r="C23" i="2" s="1"/>
  <c r="B19" i="2"/>
  <c r="B21" i="2" s="1"/>
  <c r="B23" i="2" s="1"/>
  <c r="N12" i="2"/>
  <c r="M12" i="2"/>
  <c r="L12" i="2"/>
  <c r="L14" i="2" s="1"/>
  <c r="L16" i="2" s="1"/>
  <c r="I12" i="2"/>
  <c r="I14" i="2" s="1"/>
  <c r="H12" i="2"/>
  <c r="H14" i="2" s="1"/>
  <c r="H16" i="2" s="1"/>
  <c r="G12" i="2"/>
  <c r="G14" i="2" s="1"/>
  <c r="G16" i="2" s="1"/>
  <c r="D12" i="2"/>
  <c r="D14" i="2" s="1"/>
  <c r="D16" i="2" s="1"/>
  <c r="C12" i="2"/>
  <c r="B12" i="2"/>
  <c r="C36" i="2"/>
  <c r="D36" i="2"/>
  <c r="E36" i="2"/>
  <c r="E37" i="2" s="1"/>
  <c r="G36" i="2"/>
  <c r="H36" i="2"/>
  <c r="I36" i="2"/>
  <c r="J36" i="2"/>
  <c r="J37" i="2" s="1"/>
  <c r="L36" i="2"/>
  <c r="L37" i="2" s="1"/>
  <c r="M36" i="2"/>
  <c r="N36" i="2"/>
  <c r="N37" i="2" s="1"/>
  <c r="O36" i="2"/>
  <c r="C29" i="2"/>
  <c r="D29" i="2"/>
  <c r="E29" i="2"/>
  <c r="G29" i="2"/>
  <c r="G30" i="2" s="1"/>
  <c r="H29" i="2"/>
  <c r="I29" i="2"/>
  <c r="J29" i="2"/>
  <c r="L29" i="2"/>
  <c r="M29" i="2"/>
  <c r="N29" i="2"/>
  <c r="O29" i="2"/>
  <c r="C22" i="2"/>
  <c r="D22" i="2"/>
  <c r="E22" i="2"/>
  <c r="G22" i="2"/>
  <c r="H22" i="2"/>
  <c r="I22" i="2"/>
  <c r="J22" i="2"/>
  <c r="L22" i="2"/>
  <c r="M22" i="2"/>
  <c r="N22" i="2"/>
  <c r="O22" i="2"/>
  <c r="B36" i="2"/>
  <c r="B29" i="2"/>
  <c r="B22" i="2"/>
  <c r="B37" i="2"/>
  <c r="C15" i="2"/>
  <c r="D15" i="2"/>
  <c r="E15" i="2"/>
  <c r="G15" i="2"/>
  <c r="H15" i="2"/>
  <c r="I15" i="2"/>
  <c r="J15" i="2"/>
  <c r="L15" i="2"/>
  <c r="M15" i="2"/>
  <c r="N15" i="2"/>
  <c r="O15" i="2"/>
  <c r="B15" i="2"/>
  <c r="C37" i="2"/>
  <c r="D37" i="2"/>
  <c r="G37" i="2"/>
  <c r="H37" i="2"/>
  <c r="I37" i="2"/>
  <c r="M37" i="2"/>
  <c r="O37" i="2"/>
  <c r="M16" i="2"/>
  <c r="C14" i="2"/>
  <c r="C16" i="2" s="1"/>
  <c r="M14" i="2"/>
  <c r="N14" i="2"/>
  <c r="B14" i="2"/>
  <c r="B16" i="2" s="1"/>
  <c r="D21" i="2"/>
  <c r="G21" i="2"/>
  <c r="H21" i="2"/>
  <c r="H23" i="2" s="1"/>
  <c r="I21" i="2"/>
  <c r="I23" i="2" s="1"/>
  <c r="L21" i="2"/>
  <c r="M21" i="2"/>
  <c r="N21" i="2"/>
  <c r="C28" i="2"/>
  <c r="C30" i="2" s="1"/>
  <c r="D28" i="2"/>
  <c r="D30" i="2" s="1"/>
  <c r="G28" i="2"/>
  <c r="H28" i="2"/>
  <c r="I28" i="2"/>
  <c r="L28" i="2"/>
  <c r="L30" i="2" s="1"/>
  <c r="M28" i="2"/>
  <c r="M30" i="2" s="1"/>
  <c r="N28" i="2"/>
  <c r="N30" i="2" s="1"/>
  <c r="B28" i="2"/>
  <c r="B30" i="2" s="1"/>
  <c r="C35" i="2"/>
  <c r="D35" i="2"/>
  <c r="E35" i="2"/>
  <c r="G35" i="2"/>
  <c r="H35" i="2"/>
  <c r="I35" i="2"/>
  <c r="J35" i="2"/>
  <c r="L35" i="2"/>
  <c r="M35" i="2"/>
  <c r="N35" i="2"/>
  <c r="O35" i="2"/>
  <c r="B35" i="2"/>
  <c r="C34" i="2"/>
  <c r="D34" i="2"/>
  <c r="E34" i="2"/>
  <c r="G34" i="2"/>
  <c r="H34" i="2"/>
  <c r="I34" i="2"/>
  <c r="J34" i="2"/>
  <c r="L34" i="2"/>
  <c r="M34" i="2"/>
  <c r="N34" i="2"/>
  <c r="O34" i="2"/>
  <c r="C27" i="2"/>
  <c r="D27" i="2"/>
  <c r="E27" i="2"/>
  <c r="G27" i="2"/>
  <c r="H27" i="2"/>
  <c r="I27" i="2"/>
  <c r="J27" i="2"/>
  <c r="L27" i="2"/>
  <c r="M27" i="2"/>
  <c r="N27" i="2"/>
  <c r="O27" i="2"/>
  <c r="B34" i="2"/>
  <c r="B27" i="2"/>
  <c r="C20" i="2"/>
  <c r="D20" i="2"/>
  <c r="E20" i="2"/>
  <c r="G20" i="2"/>
  <c r="H20" i="2"/>
  <c r="I20" i="2"/>
  <c r="J20" i="2"/>
  <c r="L20" i="2"/>
  <c r="M20" i="2"/>
  <c r="N20" i="2"/>
  <c r="O20" i="2"/>
  <c r="B20" i="2"/>
  <c r="G13" i="2"/>
  <c r="H13" i="2"/>
  <c r="I13" i="2"/>
  <c r="J13" i="2"/>
  <c r="L13" i="2"/>
  <c r="M13" i="2"/>
  <c r="N13" i="2"/>
  <c r="O13" i="2"/>
  <c r="D13" i="2"/>
  <c r="E13" i="2"/>
  <c r="C13" i="2"/>
  <c r="B13" i="2"/>
  <c r="V9" i="1"/>
  <c r="V8" i="1"/>
  <c r="V7" i="1"/>
  <c r="V6" i="1"/>
  <c r="V5" i="1"/>
  <c r="V4" i="1"/>
  <c r="B4" i="2"/>
  <c r="C4" i="2"/>
  <c r="D4" i="2"/>
  <c r="G4" i="2"/>
  <c r="H4" i="2"/>
  <c r="I4" i="2"/>
  <c r="L4" i="2"/>
  <c r="M4" i="2"/>
  <c r="N4" i="2"/>
  <c r="B5" i="2"/>
  <c r="C5" i="2"/>
  <c r="D5" i="2"/>
  <c r="G5" i="2"/>
  <c r="H5" i="2"/>
  <c r="I5" i="2"/>
  <c r="L5" i="2"/>
  <c r="M5" i="2"/>
  <c r="N5" i="2"/>
  <c r="B6" i="2"/>
  <c r="C6" i="2"/>
  <c r="D6" i="2"/>
  <c r="G6" i="2"/>
  <c r="H6" i="2"/>
  <c r="I6" i="2"/>
  <c r="L6" i="2"/>
  <c r="M6" i="2"/>
  <c r="N6" i="2"/>
  <c r="W36" i="1"/>
  <c r="Q33" i="1"/>
  <c r="R33" i="1"/>
  <c r="P33" i="1"/>
  <c r="L33" i="1"/>
  <c r="M33" i="1"/>
  <c r="K33" i="1"/>
  <c r="H33" i="1"/>
  <c r="G33" i="1"/>
  <c r="F33" i="1"/>
  <c r="Q27" i="1"/>
  <c r="R27" i="1"/>
  <c r="R28" i="1"/>
  <c r="Q28" i="1"/>
  <c r="Q29" i="1"/>
  <c r="R29" i="1"/>
  <c r="Q31" i="1"/>
  <c r="R31" i="1"/>
  <c r="Q30" i="1"/>
  <c r="R30" i="1"/>
  <c r="P31" i="1"/>
  <c r="P30" i="1"/>
  <c r="P29" i="1"/>
  <c r="P28" i="1"/>
  <c r="P27" i="1"/>
  <c r="M28" i="1"/>
  <c r="M27" i="1"/>
  <c r="L28" i="1"/>
  <c r="L27" i="1"/>
  <c r="L31" i="1"/>
  <c r="M31" i="1"/>
  <c r="K31" i="1"/>
  <c r="L30" i="1"/>
  <c r="M30" i="1"/>
  <c r="K30" i="1"/>
  <c r="L29" i="1"/>
  <c r="M29" i="1"/>
  <c r="K29" i="1"/>
  <c r="K28" i="1"/>
  <c r="K27" i="1"/>
  <c r="H28" i="1"/>
  <c r="H27" i="1"/>
  <c r="G28" i="1"/>
  <c r="G27" i="1"/>
  <c r="G31" i="1"/>
  <c r="H31" i="1"/>
  <c r="F31" i="1"/>
  <c r="G30" i="1"/>
  <c r="H30" i="1"/>
  <c r="F30" i="1"/>
  <c r="G29" i="1"/>
  <c r="H29" i="1"/>
  <c r="F28" i="1"/>
  <c r="F27" i="1"/>
  <c r="F29" i="1"/>
  <c r="M22" i="1"/>
  <c r="H19" i="1"/>
  <c r="H20" i="1"/>
  <c r="H21" i="1"/>
  <c r="H22" i="1"/>
  <c r="H23" i="1"/>
  <c r="H18" i="1"/>
  <c r="G19" i="1"/>
  <c r="G20" i="1"/>
  <c r="G21" i="1"/>
  <c r="G22" i="1"/>
  <c r="G23" i="1"/>
  <c r="G18" i="1"/>
  <c r="F20" i="1"/>
  <c r="F19" i="1"/>
  <c r="F21" i="1"/>
  <c r="F22" i="1"/>
  <c r="F23" i="1"/>
  <c r="F18" i="1"/>
  <c r="I19" i="1" a="1"/>
  <c r="I19" i="1" s="1"/>
  <c r="I38" i="1" s="1"/>
  <c r="I20" i="1" a="1"/>
  <c r="I20" i="1" s="1"/>
  <c r="I39" i="1" s="1"/>
  <c r="I21" i="1" a="1"/>
  <c r="I21" i="1" s="1"/>
  <c r="I40" i="1" s="1"/>
  <c r="N21" i="1" s="1"/>
  <c r="N27" i="1" s="1"/>
  <c r="J4" i="2" s="1"/>
  <c r="J16" i="2" s="1"/>
  <c r="I22" i="1" a="1"/>
  <c r="I22" i="1" s="1"/>
  <c r="I41" i="1" s="1"/>
  <c r="N22" i="1" s="1"/>
  <c r="N28" i="1" s="1"/>
  <c r="J5" i="2" s="1"/>
  <c r="J23" i="2" s="1"/>
  <c r="J21" i="2" s="1"/>
  <c r="J19" i="2" s="1"/>
  <c r="I23" i="1" a="1"/>
  <c r="I23" i="1" s="1"/>
  <c r="I42" i="1" s="1"/>
  <c r="I18" i="1" a="1"/>
  <c r="I18" i="1" s="1"/>
  <c r="I37" i="1" s="1"/>
  <c r="N18" i="1" s="1"/>
  <c r="K5" i="1"/>
  <c r="K19" i="1" s="1"/>
  <c r="L5" i="1"/>
  <c r="L19" i="1" s="1"/>
  <c r="M5" i="1"/>
  <c r="M19" i="1" s="1"/>
  <c r="N5" i="1"/>
  <c r="S5" i="1"/>
  <c r="R5" i="1"/>
  <c r="R19" i="1" s="1"/>
  <c r="Q5" i="1"/>
  <c r="Q19" i="1" s="1"/>
  <c r="P5" i="1"/>
  <c r="P19" i="1" s="1"/>
  <c r="K6" i="1"/>
  <c r="K20" i="1" s="1"/>
  <c r="P4" i="1"/>
  <c r="P18" i="1" s="1"/>
  <c r="Q4" i="1"/>
  <c r="Q18" i="1" s="1"/>
  <c r="R4" i="1"/>
  <c r="R18" i="1" s="1"/>
  <c r="S4" i="1"/>
  <c r="N4" i="1"/>
  <c r="M4" i="1"/>
  <c r="M18" i="1" s="1"/>
  <c r="K4" i="1"/>
  <c r="K18" i="1" s="1"/>
  <c r="L4" i="1"/>
  <c r="L18" i="1" s="1"/>
  <c r="S6" i="1"/>
  <c r="R6" i="1"/>
  <c r="R20" i="1" s="1"/>
  <c r="Q6" i="1"/>
  <c r="Q20" i="1" s="1"/>
  <c r="P6" i="1"/>
  <c r="P20" i="1" s="1"/>
  <c r="N6" i="1"/>
  <c r="M6" i="1"/>
  <c r="M20" i="1" s="1"/>
  <c r="L6" i="1"/>
  <c r="L20" i="1" s="1"/>
  <c r="P7" i="1"/>
  <c r="P21" i="1" s="1"/>
  <c r="Q7" i="1"/>
  <c r="Q21" i="1" s="1"/>
  <c r="R7" i="1"/>
  <c r="R21" i="1" s="1"/>
  <c r="S7" i="1"/>
  <c r="N7" i="1"/>
  <c r="M7" i="1"/>
  <c r="M21" i="1" s="1"/>
  <c r="L7" i="1"/>
  <c r="L21" i="1" s="1"/>
  <c r="K7" i="1"/>
  <c r="K21" i="1" s="1"/>
  <c r="Q8" i="1"/>
  <c r="Q22" i="1" s="1"/>
  <c r="S8" i="1"/>
  <c r="R8" i="1"/>
  <c r="R22" i="1" s="1"/>
  <c r="P8" i="1"/>
  <c r="P22" i="1" s="1"/>
  <c r="M8" i="1"/>
  <c r="L8" i="1"/>
  <c r="L22" i="1" s="1"/>
  <c r="K8" i="1"/>
  <c r="K22" i="1" s="1"/>
  <c r="N8" i="1"/>
  <c r="M9" i="1"/>
  <c r="M23" i="1" s="1"/>
  <c r="K9" i="1"/>
  <c r="K23" i="1" s="1"/>
  <c r="S9" i="1"/>
  <c r="R9" i="1"/>
  <c r="R23" i="1" s="1"/>
  <c r="Q9" i="1"/>
  <c r="Q23" i="1" s="1"/>
  <c r="P9" i="1"/>
  <c r="P23" i="1" s="1"/>
  <c r="N9" i="1"/>
  <c r="L9" i="1"/>
  <c r="L23" i="1" s="1"/>
  <c r="J14" i="2" l="1"/>
  <c r="J12" i="2" s="1"/>
  <c r="I30" i="2"/>
  <c r="H30" i="2"/>
  <c r="N23" i="2"/>
  <c r="M23" i="2"/>
  <c r="L23" i="2"/>
  <c r="G23" i="2"/>
  <c r="D23" i="2"/>
  <c r="N16" i="2"/>
  <c r="I16" i="2"/>
  <c r="I28" i="1"/>
  <c r="E5" i="2" s="1"/>
  <c r="E23" i="2" s="1"/>
  <c r="E21" i="2" s="1"/>
  <c r="E19" i="2" s="1"/>
  <c r="I33" i="1"/>
  <c r="I29" i="1"/>
  <c r="E6" i="2" s="1"/>
  <c r="E30" i="2" s="1"/>
  <c r="I31" i="1"/>
  <c r="I27" i="1"/>
  <c r="E4" i="2" s="1"/>
  <c r="E16" i="2" s="1"/>
  <c r="I30" i="1"/>
  <c r="N23" i="1"/>
  <c r="S23" i="1"/>
  <c r="T23" i="1" s="1"/>
  <c r="N20" i="1"/>
  <c r="S20" i="1"/>
  <c r="S18" i="1"/>
  <c r="T18" i="1" s="1"/>
  <c r="S19" i="1"/>
  <c r="T19" i="1" s="1"/>
  <c r="N19" i="1"/>
  <c r="S22" i="1"/>
  <c r="S21" i="1"/>
  <c r="T21" i="1" s="1"/>
  <c r="E28" i="2" l="1"/>
  <c r="E26" i="2" s="1"/>
  <c r="D6" i="3"/>
  <c r="C6" i="3"/>
  <c r="B6" i="3"/>
  <c r="S28" i="1"/>
  <c r="O5" i="2" s="1"/>
  <c r="O23" i="2" s="1"/>
  <c r="O21" i="2" s="1"/>
  <c r="O19" i="2" s="1"/>
  <c r="T22" i="1"/>
  <c r="S27" i="1"/>
  <c r="O4" i="2" s="1"/>
  <c r="O16" i="2" s="1"/>
  <c r="O14" i="2" s="1"/>
  <c r="O12" i="2" s="1"/>
  <c r="T20" i="1"/>
  <c r="E14" i="2"/>
  <c r="E12" i="2" s="1"/>
  <c r="S31" i="1"/>
  <c r="N31" i="1"/>
  <c r="N30" i="1"/>
  <c r="N33" i="1"/>
  <c r="N29" i="1"/>
  <c r="J6" i="2" s="1"/>
  <c r="J30" i="2" s="1"/>
  <c r="D7" i="3" s="1"/>
  <c r="S33" i="1"/>
  <c r="S30" i="1"/>
  <c r="S29" i="1"/>
  <c r="O6" i="2" s="1"/>
  <c r="O30" i="2" s="1"/>
  <c r="O28" i="2" s="1"/>
  <c r="O26" i="2" s="1"/>
  <c r="D15" i="3" l="1"/>
  <c r="B10" i="3"/>
  <c r="C10" i="3"/>
  <c r="J28" i="2"/>
  <c r="J26" i="2" s="1"/>
  <c r="C7" i="3"/>
  <c r="C15" i="3" s="1"/>
  <c r="B7" i="3"/>
  <c r="B15" i="3" s="1"/>
  <c r="E15" i="3" s="1"/>
  <c r="E16" i="3" s="1"/>
  <c r="D10" i="3" l="1"/>
  <c r="D16" i="3" s="1"/>
  <c r="D17" i="3" s="1"/>
  <c r="E17"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<sst xmlns="http://schemas.openxmlformats.org/spreadsheetml/2006/main" count="117" uniqueCount="54">
  <si>
    <t>Last Twelve Month  (LTM)</t>
  </si>
  <si>
    <t>Year 1 Forecast - Calendar Year</t>
  </si>
  <si>
    <t>Year 2 Forecast Calendar Year</t>
  </si>
  <si>
    <t>NAME</t>
  </si>
  <si>
    <t>Ticker</t>
  </si>
  <si>
    <t>Market Capitalization(mm)</t>
  </si>
  <si>
    <t>Enterperise value</t>
  </si>
  <si>
    <t>Revenues</t>
  </si>
  <si>
    <t>EBITDA</t>
  </si>
  <si>
    <t>EBIT</t>
  </si>
  <si>
    <t>EPS</t>
  </si>
  <si>
    <t>LT Growth rate</t>
  </si>
  <si>
    <t>Net Debt</t>
  </si>
  <si>
    <t>Diluted Shares Outstanding</t>
  </si>
  <si>
    <t>WMT</t>
  </si>
  <si>
    <t>TGT</t>
  </si>
  <si>
    <t>COST</t>
  </si>
  <si>
    <t>AMZN</t>
  </si>
  <si>
    <t>CVS</t>
  </si>
  <si>
    <t>KR</t>
  </si>
  <si>
    <t>Last Twelve Month (LTM)</t>
  </si>
  <si>
    <t>Year 1 Forecast Calendar Year</t>
  </si>
  <si>
    <t>EV/ Revenues</t>
  </si>
  <si>
    <t>EV/EBIDTA</t>
  </si>
  <si>
    <t>EV/EBIT</t>
  </si>
  <si>
    <t>P/E</t>
  </si>
  <si>
    <t>PEG Ratio</t>
  </si>
  <si>
    <t>High</t>
  </si>
  <si>
    <t>Low</t>
  </si>
  <si>
    <t>Median</t>
  </si>
  <si>
    <t>Mean</t>
  </si>
  <si>
    <t>Mean( excl WMT)</t>
  </si>
  <si>
    <t>8.32 -</t>
  </si>
  <si>
    <t>Current price</t>
  </si>
  <si>
    <t>33.65-</t>
  </si>
  <si>
    <t>33.91-</t>
  </si>
  <si>
    <t>Comps- Derived WMT Value</t>
  </si>
  <si>
    <t>Enterprise value</t>
  </si>
  <si>
    <t>Equity Value</t>
  </si>
  <si>
    <t>Shares Outstanding</t>
  </si>
  <si>
    <t>Shares Price</t>
  </si>
  <si>
    <t>f</t>
  </si>
  <si>
    <t>Walmart Value Range Table</t>
  </si>
  <si>
    <t>Methodology</t>
  </si>
  <si>
    <t>Lower Value</t>
  </si>
  <si>
    <t>Upper Value</t>
  </si>
  <si>
    <t>Median Value</t>
  </si>
  <si>
    <t>1 YR EV/EBIT</t>
  </si>
  <si>
    <t>LTM EV / EBITDA</t>
  </si>
  <si>
    <t>LTM EV / EBIT</t>
  </si>
  <si>
    <t xml:space="preserve">LTM P/E </t>
  </si>
  <si>
    <t>1 YR P/E</t>
  </si>
  <si>
    <t>Walmart Price (52 Week Range)</t>
  </si>
  <si>
    <t>Median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</si>
</sst>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5" x14ac:knownFonts="1">
    <font>
      <sz val="11"/>
      <color theme="1"/>
      <name val="Calibri"/>
      <family val="2"/>
      <scheme val="minor"/>
    </font>
    <font>
      <b/>
      <sz val="11"/>
      <color rgb="FF3F3F3F"/>
      <name val="Calibri"/>
      <family val="2"/>
      <scheme val="minor"/>
    </font>
    <font>
      <b/>
      <sz val="11"/>
      <color theme="1"/>
      <name val="Calibri"/>
      <family val="2"/>
      <scheme val="minor"/>
    </font>
    <font>
      <sz val="10"/>
      <color theme="1"/>
      <name val="Calibri"/>
      <family val="2"/>
      <scheme val="minor"/>
    </font>
    <font>
      <sz val="11"/>
      <color rgb="FF008000"/>
      <name val="Calibri"/>
      <family val="2"/>
      <scheme val="minor"/>
    </font>
  </fonts>
  <fills count="3">
    <fill>
      <patternFill patternType="none"/>
    </fill>
    <fill>
      <patternFill patternType="gray125"/>
    </fill>
    <fill>
      <patternFill patternType="solid">
        <fgColor rgb="FFF2F2F2"/>
      </patternFill>
    </fill>
  </fills>
  <borders count="4">
    <border>
      <left/>
      <right/>
      <top/>
      <bottom/>
      <diagonal/>
    </border>
    <border>
      <left style="thin">
        <color rgb="FF3F3F3F"/>
      </left>
      <right style="thin">
        <color rgb="FF3F3F3F"/>
      </right>
      <top style="thin">
        <color rgb="FF3F3F3F"/>
      </top>
      <bottom style="thin">
        <color rgb="FF3F3F3F"/>
      </bottom>
      <diagonal/>
    </border>
    <border>
      <left/>
      <right/>
      <top style="medium">
        <color indexed="64"/>
      </top>
      <bottom style="medium">
        <color indexed="64"/>
      </bottom>
      <diagonal/>
    </border>
    <border>
      <left/>
      <right/>
      <top/>
      <bottom style="thin">
        <color rgb="FF000000"/>
      </bottom>
      <diagonal/>
    </border>
  </borders>
  <cellStyleXfs count="2">
    <xf numFmtId="0" fontId="0" fillId="0" borderId="0"/>
    <xf numFmtId="0" fontId="1" fillId="2" borderId="1" applyNumberFormat="0" applyAlignment="0" applyProtection="0"/>
  </cellStyleXfs>
  <cellXfs count="16">
    <xf numFmtId="0" fontId="0" fillId="0" borderId="0" xfId="0"/>
    <xf numFmtId="0" fontId="1" fillId="2" borderId="1" xfId="1"/>
    <xf numFmtId="0" fontId="0" fillId="0" borderId="2" xfId="0" applyBorder="1"/>
    <xf numFmtId="3" fontId="0" fillId="0" borderId="2" xfId="0" applyNumberFormat="1" applyBorder="1"/>
    <xf numFmtId="3" fontId="0" fillId="0" borderId="0" xfId="0" applyNumberFormat="1"/>
    <xf numFmtId="2" fontId="0" fillId="0" borderId="0" xfId="0" applyNumberFormat="1"/>
    <xf numFmtId="164" fontId="0" fillId="0" borderId="0" xfId="0" applyNumberFormat="1"/>
    <xf numFmtId="43" fontId="0" fillId="0" borderId="0" xfId="0" applyNumberFormat="1"/>
    <xf numFmtId="1" fontId="0" fillId="0" borderId="0" xfId="0" applyNumberFormat="1"/>
    <xf numFmtId="0" fontId="2" fillId="0" borderId="0" xfId="0" applyFont="1"/>
    <xf numFmtId="164" fontId="0" fillId="0" borderId="2" xfId="0" applyNumberFormat="1" applyBorder="1"/>
    <xf numFmtId="0" fontId="2" fillId="0" borderId="2" xfId="0" applyFont="1" applyBorder="1"/>
    <xf numFmtId="0" fontId="0" fillId="0" borderId="3" xfId="0" applyBorder="1"/>
    <xf numFmtId="0" fontId="3" fillId="0" borderId="0" xfId="0" applyFont="1" applyAlignment="1">
      <alignment horizontal="left" wrapText="1"/>
    </xf>
    <xf numFmtId="44" fontId="4" fillId="0" borderId="0" xfId="0" applyNumberFormat="1" applyFont="1"/>
    <xf numFmtId="44" fontId="0" fillId="0" borderId="0" xfId="0" applyNumberFormat="1"/>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externalLink" Target="externalLinks/externalLink1.xml"/><Relationship Id="rId9" Type="http://schemas.microsoft.com/office/2017/06/relationships/rdRichValue" Target="richData/rdrichvalu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bothra1\AppData\Local\Microsoft\Windows\INetCache\Content.Outlook\11NMV5SP\Walmart%20(WMT)%20Trading%20Comps%20Model.xlsx" TargetMode="External"/><Relationship Id="rId1" Type="http://schemas.openxmlformats.org/officeDocument/2006/relationships/externalLinkPath" Target="https://babson-my.sharepoint.com/Users/pbothra1/AppData/Local/Microsoft/Windows/INetCache/Content.Outlook/11NMV5SP/Walmart%20(WMT)%20Trading%20Comps%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lmart Trading Comps Model"/>
      <sheetName val="Analysis Output"/>
      <sheetName val="Valuation Matrix"/>
      <sheetName val="Valuation Output"/>
    </sheetNames>
    <sheetDataSet>
      <sheetData sheetId="0"/>
      <sheetData sheetId="1">
        <row r="9">
          <cell r="T9">
            <v>4.6800000000000001E-2</v>
          </cell>
        </row>
        <row r="10">
          <cell r="T10">
            <v>0.12720000000000001</v>
          </cell>
        </row>
        <row r="11">
          <cell r="T11">
            <v>0.12429999999999999</v>
          </cell>
        </row>
        <row r="12">
          <cell r="T12">
            <v>6.3600000000000004E-2</v>
          </cell>
        </row>
        <row r="13">
          <cell r="T13">
            <v>9.9699999999999997E-2</v>
          </cell>
        </row>
        <row r="14">
          <cell r="T14">
            <v>0.28260000000000002</v>
          </cell>
        </row>
      </sheetData>
      <sheetData sheetId="2"/>
      <sheetData sheetId="3"/>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8">
  <rv s="0">
    <v>https://www.bing.com/financeapi/forcetrigger?t=a25ya2&amp;q=XNYS%3aWMT&amp;form=skydnc</v>
    <v>Learn more on Bing</v>
  </rv>
  <rv s="1">
    <v>en-US</v>
    <v>a25ya2</v>
    <v>268435456</v>
    <v>1</v>
    <v>Powered by Refinitiv</v>
    <v>0</v>
    <v>WALMART INC. (XNAS:WMT)</v>
    <v>2</v>
    <v>3</v>
    <v>Finance</v>
    <v>4</v>
    <v>134.69</v>
    <v>79.81</v>
    <v>0.66839999999999999</v>
    <v>0.46</v>
    <v>3.7009999999999999E-3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125.23</v>
    <v>Food &amp; Drug Retailing</v>
    <v>Stock</v>
    <v>46113.999283089841</v>
    <v>0</v>
    <v>123.13</v>
    <v>994477425480</v>
    <v>WALMART INC.</v>
    <v>WALMART INC.</v>
    <v>123.8</v>
    <v>45.697800000000001</v>
    <v>124.28</v>
    <v>124.74</v>
    <v>7972402000</v>
    <v>WMT</v>
    <v>WALMART INC. (XNAS:WMT)</v>
    <v>25549</v>
    <v>21000204</v>
    <v>1969</v>
  </rv>
  <rv s="2">
    <v>1</v>
  </rv>
  <rv s="0">
    <v>https://www.bing.com/financeapi/forcetrigger?t=a246z2&amp;q=XNYS%3aTGT&amp;form=skydnc</v>
    <v>Learn more on Bing</v>
  </rv>
  <rv s="1">
    <v>en-US</v>
    <v>a246z2</v>
    <v>268435456</v>
    <v>1</v>
    <v>Powered by Refinitiv</v>
    <v>0</v>
    <v>TARGET CORPORATION (XNYS:TGT)</v>
    <v>2</v>
    <v>3</v>
    <v>Finance</v>
    <v>4</v>
    <v>126</v>
    <v>83.44</v>
    <v>1.0293000000000001</v>
    <v>-0.75</v>
    <v>-6.1879999999999999E-3</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415000</v>
    <v>New York Stock Exchange</v>
    <v>XNYS</v>
    <v>XNYS</v>
    <v>1000 Nicollet Mall, MINNEAPOLIS, MN, 55403 US</v>
    <v>122.145</v>
    <v>Diversified Retail</v>
    <v>Stock</v>
    <v>46113.999185832814</v>
    <v>3</v>
    <v>120.41</v>
    <v>54546457020</v>
    <v>TARGET CORPORATION</v>
    <v>TARGET CORPORATION</v>
    <v>121.15</v>
    <v>14.615399999999999</v>
    <v>121.2</v>
    <v>120.45</v>
    <v>452855600</v>
    <v>TGT</v>
    <v>TARGET CORPORATION (XNYS:TGT)</v>
    <v>4023</v>
    <v>6596857</v>
    <v>1902</v>
  </rv>
  <rv s="2">
    <v>4</v>
  </rv>
  <rv s="0">
    <v>https://www.bing.com/financeapi/forcetrigger?t=a1q6k2&amp;q=XNAS%3aCOST&amp;form=skydnc</v>
    <v>Learn more on Bing</v>
  </rv>
  <rv s="1">
    <v>en-US</v>
    <v>a1q6k2</v>
    <v>268435456</v>
    <v>1</v>
    <v>Powered by Refinitiv</v>
    <v>0</v>
    <v>COSTCO WHOLESALE CORPORATION (XNAS:COST)</v>
    <v>2</v>
    <v>3</v>
    <v>Finance</v>
    <v>4</v>
    <v>1067.08</v>
    <v>844.06</v>
    <v>0.98919999999999997</v>
    <v>0.13</v>
    <v>1.305E-4</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1003.13</v>
    <v>Diversified Retail</v>
    <v>Stock</v>
    <v>46113.999782383595</v>
    <v>6</v>
    <v>990.59</v>
    <v>442126335400</v>
    <v>COSTCO WHOLESALE CORPORATION</v>
    <v>COSTCO WHOLESALE CORPORATION</v>
    <v>995.02499999999998</v>
    <v>53.382899999999999</v>
    <v>996.43</v>
    <v>996.56</v>
    <v>443652500</v>
    <v>COST</v>
    <v>COSTCO WHOLESALE CORPORATION (XNAS:COST)</v>
    <v>38567</v>
    <v>1858117</v>
    <v>1987</v>
  </rv>
  <rv s="2">
    <v>7</v>
  </rv>
  <rv s="0">
    <v>https://www.bing.com/financeapi/forcetrigger?t=a1nhlh&amp;q=XNAS%3aAMZN&amp;form=skydnc</v>
    <v>Learn more on Bing</v>
  </rv>
  <rv s="1">
    <v>en-US</v>
    <v>a1nhlh</v>
    <v>268435456</v>
    <v>1</v>
    <v>Powered by Refinitiv</v>
    <v>0</v>
    <v>AMAZON.COM, INC. (XNAS:AMZN)</v>
    <v>2</v>
    <v>3</v>
    <v>Finance</v>
    <v>4</v>
    <v>258.60000000000002</v>
    <v>161.38</v>
    <v>1.363</v>
    <v>2.2999999999999998</v>
    <v>1.1043000000000001E-2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213.58</v>
    <v>Diversified Retail</v>
    <v>Stock</v>
    <v>46113.999999895314</v>
    <v>9</v>
    <v>208.19</v>
    <v>2260452104400</v>
    <v>AMAZON.COM, INC.</v>
    <v>AMAZON.COM, INC.</v>
    <v>210.435</v>
    <v>29.359000000000002</v>
    <v>208.27</v>
    <v>210.57</v>
    <v>10734920000</v>
    <v>AMZN</v>
    <v>AMAZON.COM, INC. (XNAS:AMZN)</v>
    <v>613430</v>
    <v>46234005</v>
    <v>1996</v>
  </rv>
  <rv s="2">
    <v>10</v>
  </rv>
  <rv s="0">
    <v>https://www.bing.com/financeapi/forcetrigger?t=a1qlnm&amp;q=XNYS%3aCVS&amp;form=skydnc</v>
    <v>Learn more on Bing</v>
  </rv>
  <rv s="1">
    <v>en-US</v>
    <v>a1qlnm</v>
    <v>268435456</v>
    <v>1</v>
    <v>Powered by Refinitiv</v>
    <v>0</v>
    <v>CVS HEALTH CORPORATION (XNYS:CVS)</v>
    <v>2</v>
    <v>3</v>
    <v>Finance</v>
    <v>4</v>
    <v>85.15</v>
    <v>58.35</v>
    <v>0.50839999999999996</v>
    <v>0.67</v>
    <v>9.3289999999999988E-3</v>
    <v>USD</v>
    <v>CVS Health Corporation is a health solutions company. The Company's segments include Health Care Benefits, Health Services, Pharmacy &amp; Consumer Wellness and Corporate/Other. The Health Care Benefits segment offers a broad range of traditional, voluntary and consumer-directed health insurance products and related services, including medical, pharmacy, dental and behavioral health plans, PDPs and Medicaid health care management services. The Health Services segment provides a full range of pharmacy benefit management (PBM) solutions through its CVS Caremark operations and delivers health care services in its medical clinics, virtually, and in the home. The Pharmacy &amp; Consumer Wellness segment dispenses prescriptions in its CVS Pharmacy retail locations and, through its infusion operations, provides ancillary pharmacy services including pharmacy patient care programs, and vaccination administration, and sells a wide assortment of health and wellness products and general merchandise.</v>
    <v>300000</v>
    <v>New York Stock Exchange</v>
    <v>XNYS</v>
    <v>XNYS</v>
    <v>One Cvs Dr., WOONSOCKET, RI, 02895 US</v>
    <v>72.75</v>
    <v>Healthcare Providers &amp; Services</v>
    <v>Stock</v>
    <v>46113.999520705467</v>
    <v>12</v>
    <v>71.819999999999993</v>
    <v>92222575390</v>
    <v>CVS HEALTH CORPORATION</v>
    <v>CVS HEALTH CORPORATION</v>
    <v>72.06</v>
    <v>53.009900000000002</v>
    <v>71.819999999999993</v>
    <v>72.489999999999995</v>
    <v>1272211000</v>
    <v>CVS</v>
    <v>CVS HEALTH CORPORATION (XNYS:CVS)</v>
    <v>2858</v>
    <v>7997857</v>
    <v>1996</v>
  </rv>
  <rv s="2">
    <v>13</v>
  </rv>
  <rv s="0">
    <v>https://www.bing.com/financeapi/forcetrigger?t=a1wmu2&amp;q=XNYS%3aKR&amp;form=skydnc</v>
    <v>Learn more on Bing</v>
  </rv>
  <rv s="1">
    <v>en-US</v>
    <v>a1wmu2</v>
    <v>268435456</v>
    <v>1</v>
    <v>Powered by Refinitiv</v>
    <v>0</v>
    <v>THE KROGER CO. (XNYS:KR)</v>
    <v>2</v>
    <v>3</v>
    <v>Finance</v>
    <v>4</v>
    <v>76.58</v>
    <v>58.6</v>
    <v>0.55559999999999998</v>
    <v>-1.82</v>
    <v>-2.5152000000000001E-2</v>
    <v>USD</v>
    <v>The Kroger Co. is a food and drug retailer. The Company operates supermarkets, multi-department stores and fulfillment centers throughout the United States. It operates approximately 2,731 supermarkets, 2,273 pharmacies and 1,702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2,412 of its supermarkets and provides delivery, which allows it to offer digital solutions to substantially all of its customers. Its delivery solutions include orders delivered to customers at retail store locations, customer fulfillment centers and orders placed through third-party platforms. The Company also offers customer-facing apps and interfaces.</v>
    <v>403000</v>
    <v>New York Stock Exchange</v>
    <v>XNYS</v>
    <v>XNYS</v>
    <v>1014 Vine St, CINCINNATI, OH, 45201 US</v>
    <v>72.069999999999993</v>
    <v>Food &amp; Drug Retailing</v>
    <v>Stock</v>
    <v>46113.996866678128</v>
    <v>15</v>
    <v>69.760000000000005</v>
    <v>43211082824</v>
    <v>THE KROGER CO.</v>
    <v>THE KROGER CO.</v>
    <v>71.89</v>
    <v>64.607100000000003</v>
    <v>72.36</v>
    <v>70.540000000000006</v>
    <v>612575600</v>
    <v>KR</v>
    <v>THE KROGER CO. (XNYS:KR)</v>
    <v>4874</v>
    <v>7440961</v>
    <v>1902</v>
  </rv>
  <rv s="2">
    <v>16</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2A78-C2B7-48BE-84F7-B1D74F9DCD99}">
  <dimension ref="A1:W42"/>
  <sheetViews>
    <sheetView tabSelected="1" zoomScale="82" zoomScaleNormal="82" workbookViewId="0">
      <selection activeCell="C18" sqref="C18"/>
    </sheetView>
  </sheetViews>
  <sheetFormatPr defaultRowHeight="14.5" x14ac:dyDescent="0.35"/>
  <cols>
    <col min="1" max="1" width="44" customWidth="1"/>
    <col min="2" max="2" width="14.1796875" customWidth="1"/>
    <col min="3" max="3" width="24.54296875" customWidth="1"/>
    <col min="4" max="4" width="15" customWidth="1"/>
    <col min="5" max="5" width="3.7265625" customWidth="1"/>
    <col min="6" max="6" width="13" customWidth="1"/>
    <col min="7" max="7" width="9.81640625" customWidth="1"/>
    <col min="9" max="9" width="8.81640625" customWidth="1"/>
    <col min="10" max="10" width="3.54296875" customWidth="1"/>
    <col min="11" max="11" width="12.54296875" customWidth="1"/>
    <col min="12" max="12" width="10.1796875" customWidth="1"/>
    <col min="16" max="16" width="13" customWidth="1"/>
    <col min="17" max="17" width="10.26953125" customWidth="1"/>
    <col min="20" max="20" width="13.26953125" customWidth="1"/>
    <col min="21" max="21" width="3" customWidth="1"/>
    <col min="23" max="23" width="23.1796875" customWidth="1"/>
  </cols>
  <sheetData>
    <row r="1" spans="1:23" x14ac:dyDescent="0.35">
      <c r="F1" s="1" t="s">
        <v>0</v>
      </c>
      <c r="G1" s="1"/>
      <c r="H1" s="1"/>
      <c r="I1" s="1"/>
      <c r="K1" s="1" t="s">
        <v>1</v>
      </c>
      <c r="L1" s="1"/>
      <c r="M1" s="1"/>
      <c r="N1" s="1"/>
      <c r="P1" s="1" t="s">
        <v>2</v>
      </c>
      <c r="Q1" s="1"/>
      <c r="R1" s="1"/>
      <c r="S1" s="1"/>
    </row>
    <row r="2" spans="1:23" ht="46.9" customHeight="1" x14ac:dyDescent="0.35">
      <c r="A2" t="s">
        <v>3</v>
      </c>
      <c r="B2" t="s">
        <v>4</v>
      </c>
      <c r="C2" t="s">
        <v>5</v>
      </c>
      <c r="D2" t="s">
        <v>6</v>
      </c>
      <c r="F2" t="s">
        <v>7</v>
      </c>
      <c r="G2" t="s">
        <v>8</v>
      </c>
      <c r="H2" t="s">
        <v>9</v>
      </c>
      <c r="I2" t="s">
        <v>10</v>
      </c>
      <c r="K2" t="s">
        <v>7</v>
      </c>
      <c r="L2" t="s">
        <v>8</v>
      </c>
      <c r="M2" t="s">
        <v>9</v>
      </c>
      <c r="N2" t="s">
        <v>10</v>
      </c>
      <c r="P2" t="s">
        <v>7</v>
      </c>
      <c r="Q2" t="s">
        <v>8</v>
      </c>
      <c r="R2" t="s">
        <v>9</v>
      </c>
      <c r="S2" t="s">
        <v>10</v>
      </c>
      <c r="T2" t="s">
        <v>11</v>
      </c>
      <c r="V2" t="s">
        <v>12</v>
      </c>
      <c r="W2" t="s">
        <v>13</v>
      </c>
    </row>
    <row r="3" spans="1:23" ht="15" thickBot="1" x14ac:dyDescent="0.4"/>
    <row r="4" spans="1:23" s="2" customFormat="1" ht="15" thickBot="1" x14ac:dyDescent="0.4">
      <c r="A4" s="2" t="e" vm="1">
        <v>#VALUE!</v>
      </c>
      <c r="B4" s="2" t="s">
        <v>14</v>
      </c>
      <c r="C4" s="3">
        <v>447310</v>
      </c>
      <c r="D4" s="3">
        <v>504226</v>
      </c>
      <c r="F4" s="2">
        <v>630794</v>
      </c>
      <c r="G4" s="3">
        <v>37112</v>
      </c>
      <c r="H4" s="3">
        <v>25796</v>
      </c>
      <c r="I4" s="2">
        <v>6.52</v>
      </c>
      <c r="K4" s="2">
        <f>(639815+653268)/2</f>
        <v>646541.5</v>
      </c>
      <c r="L4" s="2">
        <f>(38463+39487)/2</f>
        <v>38975</v>
      </c>
      <c r="M4" s="2">
        <f>(26727+27566)/2</f>
        <v>27146.5</v>
      </c>
      <c r="N4" s="2">
        <f>(6.5+6.79)/2</f>
        <v>6.6449999999999996</v>
      </c>
      <c r="P4" s="2">
        <f>(662291+676563)/2</f>
        <v>669427</v>
      </c>
      <c r="Q4" s="2">
        <f>(41066+41464)/2</f>
        <v>41265</v>
      </c>
      <c r="R4" s="2">
        <f>(28764+29238)/2</f>
        <v>29001</v>
      </c>
      <c r="S4" s="2">
        <f>(7.13+7.43)/2</f>
        <v>7.2799999999999994</v>
      </c>
      <c r="T4" s="10">
        <f>'[1]Analysis Output'!T9</f>
        <v>4.6800000000000001E-2</v>
      </c>
      <c r="V4" s="2">
        <f>64801-13888</f>
        <v>50913</v>
      </c>
      <c r="W4" s="2">
        <v>2691</v>
      </c>
    </row>
    <row r="5" spans="1:23" x14ac:dyDescent="0.35">
      <c r="A5" t="e" vm="2">
        <v>#VALUE!</v>
      </c>
      <c r="B5" t="s">
        <v>15</v>
      </c>
      <c r="C5" s="4">
        <v>50005</v>
      </c>
      <c r="D5">
        <v>67218</v>
      </c>
      <c r="F5">
        <v>108008</v>
      </c>
      <c r="G5">
        <v>7491</v>
      </c>
      <c r="H5">
        <v>4770</v>
      </c>
      <c r="I5">
        <v>7.28</v>
      </c>
      <c r="K5">
        <f>(106979+107588)/2</f>
        <v>107283.5</v>
      </c>
      <c r="L5">
        <f>(7671+8076)/2</f>
        <v>7873.5</v>
      </c>
      <c r="M5">
        <f>(4976+5419)/2</f>
        <v>5197.5</v>
      </c>
      <c r="N5">
        <f>(7.56+8.31)/2</f>
        <v>7.9350000000000005</v>
      </c>
      <c r="P5">
        <f>(107475+108615)/2</f>
        <v>108045</v>
      </c>
      <c r="Q5">
        <f>(8480+8566)/2</f>
        <v>8523</v>
      </c>
      <c r="R5">
        <f>(5748+5894)/2</f>
        <v>5821</v>
      </c>
      <c r="S5">
        <f>(8.85+9.25)/2</f>
        <v>9.0500000000000007</v>
      </c>
      <c r="T5" s="6">
        <f>'[1]Analysis Output'!T10</f>
        <v>0.12720000000000001</v>
      </c>
      <c r="V5">
        <f>18830-1617</f>
        <v>17213</v>
      </c>
      <c r="W5">
        <v>462</v>
      </c>
    </row>
    <row r="6" spans="1:23" x14ac:dyDescent="0.35">
      <c r="A6" t="e" vm="3">
        <v>#VALUE!</v>
      </c>
      <c r="B6" t="s">
        <v>16</v>
      </c>
      <c r="C6" s="4">
        <v>255514</v>
      </c>
      <c r="D6" s="4">
        <v>249164</v>
      </c>
      <c r="F6" s="4">
        <v>242900</v>
      </c>
      <c r="G6" s="4">
        <v>10254</v>
      </c>
      <c r="H6" s="4">
        <v>8177</v>
      </c>
      <c r="I6" s="5">
        <v>14.16</v>
      </c>
      <c r="K6">
        <f>(253037+253913)/2</f>
        <v>253475</v>
      </c>
      <c r="L6">
        <f>(11320+11323)/2</f>
        <v>11321.5</v>
      </c>
      <c r="M6">
        <f>(8993+9018)/2</f>
        <v>9005.5</v>
      </c>
      <c r="N6">
        <f>(15.67+15.64)/2</f>
        <v>15.655000000000001</v>
      </c>
      <c r="P6">
        <f>(269966+271059)/2</f>
        <v>270512.5</v>
      </c>
      <c r="Q6">
        <f>(12354+12383)/2</f>
        <v>12368.5</v>
      </c>
      <c r="R6">
        <f>(9850+9884)/2</f>
        <v>9867</v>
      </c>
      <c r="S6">
        <f>(17.17+17.1)/2</f>
        <v>17.135000000000002</v>
      </c>
      <c r="T6" s="6">
        <f>'[1]Analysis Output'!T11</f>
        <v>0.12429999999999999</v>
      </c>
      <c r="V6">
        <f>8884-15234</f>
        <v>-6350</v>
      </c>
      <c r="W6">
        <v>443</v>
      </c>
    </row>
    <row r="7" spans="1:23" x14ac:dyDescent="0.35">
      <c r="A7" t="e" vm="4">
        <v>#VALUE!</v>
      </c>
      <c r="B7" t="s">
        <v>17</v>
      </c>
      <c r="C7" s="4">
        <v>1483553</v>
      </c>
      <c r="D7">
        <v>1556373</v>
      </c>
      <c r="F7">
        <v>538046</v>
      </c>
      <c r="G7">
        <v>61868</v>
      </c>
      <c r="H7">
        <v>14257</v>
      </c>
      <c r="I7" s="5">
        <v>1.39</v>
      </c>
      <c r="K7">
        <f>(635789+598711)/2</f>
        <v>617250</v>
      </c>
      <c r="L7">
        <f>(124757+111540)/2</f>
        <v>118148.5</v>
      </c>
      <c r="M7">
        <f>(44469+37244)/2</f>
        <v>40856.5</v>
      </c>
      <c r="N7">
        <f>(3.42+2.86)/2</f>
        <v>3.1399999999999997</v>
      </c>
      <c r="P7">
        <f>(709443+669364)/2</f>
        <v>689403.5</v>
      </c>
      <c r="Q7">
        <f>(145920+133299)/2</f>
        <v>139609.5</v>
      </c>
      <c r="R7">
        <f>(59323+52491)/2</f>
        <v>55907</v>
      </c>
      <c r="S7">
        <f>(4.64+3.92)/2</f>
        <v>4.2799999999999994</v>
      </c>
      <c r="T7" s="6">
        <f>'[1]Analysis Output'!T12</f>
        <v>6.3600000000000004E-2</v>
      </c>
      <c r="V7">
        <f>136989-64169</f>
        <v>72820</v>
      </c>
      <c r="W7">
        <v>10334</v>
      </c>
    </row>
    <row r="8" spans="1:23" x14ac:dyDescent="0.35">
      <c r="A8" t="e" vm="5">
        <v>#VALUE!</v>
      </c>
      <c r="B8" t="s">
        <v>18</v>
      </c>
      <c r="C8" s="4">
        <v>87097</v>
      </c>
      <c r="D8" s="4">
        <v>151178</v>
      </c>
      <c r="F8">
        <v>339204</v>
      </c>
      <c r="G8" s="4">
        <v>19633</v>
      </c>
      <c r="H8" s="4">
        <v>17167</v>
      </c>
      <c r="I8" s="5">
        <v>8.57</v>
      </c>
      <c r="K8">
        <f>(348990+345275)/2</f>
        <v>347132.5</v>
      </c>
      <c r="L8">
        <f>(19226+19951)/2</f>
        <v>19588.5</v>
      </c>
      <c r="M8">
        <f>(17190+17263)/2</f>
        <v>17226.5</v>
      </c>
      <c r="N8">
        <f>(8.4+8.57)/2</f>
        <v>8.4849999999999994</v>
      </c>
      <c r="P8">
        <f>(355229+363510)/2</f>
        <v>359369.5</v>
      </c>
      <c r="Q8">
        <f>(19967+20837)/2</f>
        <v>20402</v>
      </c>
      <c r="R8">
        <f>(17825+18308)/2</f>
        <v>18066.5</v>
      </c>
      <c r="S8">
        <f>(9.01+9.4)/2</f>
        <v>9.2050000000000001</v>
      </c>
      <c r="T8" s="6">
        <f>'[1]Analysis Output'!T13</f>
        <v>9.9699999999999997E-2</v>
      </c>
      <c r="V8">
        <f>80096-16188</f>
        <v>63908</v>
      </c>
      <c r="W8">
        <v>1287</v>
      </c>
    </row>
    <row r="9" spans="1:23" x14ac:dyDescent="0.35">
      <c r="A9" t="e" vm="6">
        <v>#VALUE!</v>
      </c>
      <c r="B9" t="s">
        <v>19</v>
      </c>
      <c r="C9" s="4">
        <v>31570</v>
      </c>
      <c r="D9">
        <v>47816</v>
      </c>
      <c r="F9">
        <v>148038</v>
      </c>
      <c r="G9">
        <v>8424</v>
      </c>
      <c r="H9">
        <v>4744</v>
      </c>
      <c r="I9" s="5">
        <v>4.2699999999999996</v>
      </c>
      <c r="K9">
        <f>(150821+150066)/2</f>
        <v>150443.5</v>
      </c>
      <c r="L9">
        <f>(7874+7888)/2</f>
        <v>7881</v>
      </c>
      <c r="M9">
        <f>(4713+4757)/2</f>
        <v>4735</v>
      </c>
      <c r="N9">
        <f>(4.54+4.53)/2</f>
        <v>4.5350000000000001</v>
      </c>
      <c r="P9">
        <f>(149852+150069)/2</f>
        <v>149960.5</v>
      </c>
      <c r="Q9">
        <f>(7843+7766)/2</f>
        <v>7804.5</v>
      </c>
      <c r="R9">
        <f>(4666+4607)/2</f>
        <v>4636.5</v>
      </c>
      <c r="S9">
        <f>(4.42+4.47)/2</f>
        <v>4.4450000000000003</v>
      </c>
      <c r="T9" s="6">
        <f>'[1]Analysis Output'!T14</f>
        <v>0.28260000000000002</v>
      </c>
      <c r="V9">
        <f>19829-3561</f>
        <v>16268</v>
      </c>
      <c r="W9">
        <v>719</v>
      </c>
    </row>
    <row r="15" spans="1:23" x14ac:dyDescent="0.35">
      <c r="A15" t="s">
        <v>3</v>
      </c>
      <c r="B15" t="s">
        <v>4</v>
      </c>
      <c r="F15" s="1" t="s">
        <v>20</v>
      </c>
      <c r="G15" s="1"/>
      <c r="H15" s="1"/>
      <c r="I15" s="1"/>
      <c r="K15" s="1" t="s">
        <v>21</v>
      </c>
      <c r="L15" s="1"/>
      <c r="M15" s="1"/>
      <c r="N15" s="1"/>
      <c r="P15" s="1" t="s">
        <v>2</v>
      </c>
      <c r="Q15" s="1"/>
      <c r="R15" s="1"/>
      <c r="S15" s="1"/>
    </row>
    <row r="16" spans="1:23" ht="45.65" customHeight="1" x14ac:dyDescent="0.35">
      <c r="F16" t="s">
        <v>22</v>
      </c>
      <c r="G16" t="s">
        <v>23</v>
      </c>
      <c r="H16" t="s">
        <v>24</v>
      </c>
      <c r="I16" t="s">
        <v>25</v>
      </c>
      <c r="K16" t="s">
        <v>22</v>
      </c>
      <c r="L16" t="s">
        <v>23</v>
      </c>
      <c r="M16" t="s">
        <v>24</v>
      </c>
      <c r="N16" t="s">
        <v>25</v>
      </c>
      <c r="P16" t="s">
        <v>22</v>
      </c>
      <c r="Q16" t="s">
        <v>23</v>
      </c>
      <c r="R16" t="s">
        <v>24</v>
      </c>
      <c r="S16" t="s">
        <v>25</v>
      </c>
      <c r="T16" t="s">
        <v>26</v>
      </c>
    </row>
    <row r="17" spans="1:20" ht="16.149999999999999" customHeight="1" x14ac:dyDescent="0.35"/>
    <row r="18" spans="1:20" x14ac:dyDescent="0.35">
      <c r="A18" t="e" vm="1">
        <v>#VALUE!</v>
      </c>
      <c r="B18" t="s">
        <v>14</v>
      </c>
      <c r="F18" s="6">
        <f>D4/F4</f>
        <v>0.79935129376626923</v>
      </c>
      <c r="G18" s="6">
        <f>D4/G4</f>
        <v>13.586602716102608</v>
      </c>
      <c r="H18" s="6">
        <f>D4/H4</f>
        <v>19.546673902930689</v>
      </c>
      <c r="I18" s="6" cm="1">
        <f t="array" aca="1" ref="I18" ca="1">_FV(A4,"P/E",TRUE)</f>
        <v>45.697800000000001</v>
      </c>
      <c r="J18" s="6"/>
      <c r="K18" s="6">
        <f>D4/K4</f>
        <v>0.77988187919878305</v>
      </c>
      <c r="L18" s="6">
        <f>D4/L4</f>
        <v>12.937164849262347</v>
      </c>
      <c r="M18" s="6">
        <f>D4/M4</f>
        <v>18.574254507947618</v>
      </c>
      <c r="N18" s="6">
        <f t="shared" ref="N18:N23" ca="1" si="0">I37/N4</f>
        <v>44.838172460496615</v>
      </c>
      <c r="O18" s="6"/>
      <c r="P18" s="6">
        <f>D4/P4</f>
        <v>0.75322029138352653</v>
      </c>
      <c r="Q18" s="6">
        <f>D4/Q4</f>
        <v>12.219217254331758</v>
      </c>
      <c r="R18" s="6">
        <f>D4/R4</f>
        <v>17.386503913658149</v>
      </c>
      <c r="S18" s="6">
        <f t="shared" ref="S18:S23" ca="1" si="1">I37/S4</f>
        <v>40.927150549450552</v>
      </c>
      <c r="T18" s="6">
        <f ca="1">(S18/T4)/100</f>
        <v>8.7451176387714842</v>
      </c>
    </row>
    <row r="19" spans="1:20" x14ac:dyDescent="0.35">
      <c r="A19" t="e" vm="2">
        <v>#VALUE!</v>
      </c>
      <c r="B19" t="s">
        <v>15</v>
      </c>
      <c r="F19" s="6">
        <f t="shared" ref="F19:F23" si="2">D5/F5</f>
        <v>0.62234278942300569</v>
      </c>
      <c r="G19" s="6">
        <f t="shared" ref="G19:G23" si="3">D5/G5</f>
        <v>8.9731678013616332</v>
      </c>
      <c r="H19" s="6">
        <f t="shared" ref="H19:H23" si="4">D5/H5</f>
        <v>14.09182389937107</v>
      </c>
      <c r="I19" s="6" cm="1">
        <f t="array" aca="1" ref="I19" ca="1">_FV(A5,"P/E",TRUE)</f>
        <v>14.615399999999999</v>
      </c>
      <c r="J19" s="6"/>
      <c r="K19" s="6">
        <f t="shared" ref="K19:K23" si="5">D5/K5</f>
        <v>0.62654555453541316</v>
      </c>
      <c r="L19" s="6">
        <f t="shared" ref="L19:L23" si="6">D5/L5</f>
        <v>8.5372451895599166</v>
      </c>
      <c r="M19" s="6">
        <f t="shared" ref="M19:M23" si="7">D5/M5</f>
        <v>12.932756132756133</v>
      </c>
      <c r="N19" s="6">
        <f t="shared" ca="1" si="0"/>
        <v>13.408961814744799</v>
      </c>
      <c r="O19" s="6"/>
      <c r="P19" s="6">
        <f t="shared" ref="P19:P23" si="8">D5/P5</f>
        <v>0.62212966819380811</v>
      </c>
      <c r="Q19" s="6">
        <f t="shared" ref="Q19:Q23" si="9">D5/Q5</f>
        <v>7.8866596268919391</v>
      </c>
      <c r="R19" s="6">
        <f t="shared" ref="R19:R23" si="10">D5/R5</f>
        <v>11.54750042947947</v>
      </c>
      <c r="S19" s="6">
        <f t="shared" ca="1" si="1"/>
        <v>11.756918453038672</v>
      </c>
      <c r="T19" s="6">
        <f t="shared" ref="T19:T23" ca="1" si="11">(S19/T5)/100</f>
        <v>0.92428604190555586</v>
      </c>
    </row>
    <row r="20" spans="1:20" x14ac:dyDescent="0.35">
      <c r="A20" t="e" vm="3">
        <v>#VALUE!</v>
      </c>
      <c r="B20" t="s">
        <v>16</v>
      </c>
      <c r="F20" s="6">
        <f>D6/F6</f>
        <v>1.0257883902840674</v>
      </c>
      <c r="G20" s="6">
        <f t="shared" si="3"/>
        <v>24.299200312073339</v>
      </c>
      <c r="H20" s="6">
        <f t="shared" si="4"/>
        <v>30.471322000733764</v>
      </c>
      <c r="I20" s="6" cm="1">
        <f t="array" aca="1" ref="I20" ca="1">_FV(A6,"P/E",TRUE)</f>
        <v>53.382899999999999</v>
      </c>
      <c r="J20" s="6"/>
      <c r="K20" s="6">
        <f t="shared" si="5"/>
        <v>0.98299240556267875</v>
      </c>
      <c r="L20" s="6">
        <f t="shared" si="6"/>
        <v>22.008037804177892</v>
      </c>
      <c r="M20" s="6">
        <f t="shared" si="7"/>
        <v>27.667980678474265</v>
      </c>
      <c r="N20" s="6">
        <f t="shared" ca="1" si="0"/>
        <v>48.285012072820187</v>
      </c>
      <c r="O20" s="6"/>
      <c r="P20" s="6">
        <f t="shared" si="8"/>
        <v>0.92108128090199159</v>
      </c>
      <c r="Q20" s="6">
        <f t="shared" si="9"/>
        <v>20.145045882685856</v>
      </c>
      <c r="R20" s="6">
        <f t="shared" si="10"/>
        <v>25.252254991385428</v>
      </c>
      <c r="S20" s="6">
        <f t="shared" ca="1" si="1"/>
        <v>44.114494543332363</v>
      </c>
      <c r="T20" s="6">
        <f t="shared" ca="1" si="11"/>
        <v>3.5490341547330946</v>
      </c>
    </row>
    <row r="21" spans="1:20" x14ac:dyDescent="0.35">
      <c r="A21" t="e" vm="4">
        <v>#VALUE!</v>
      </c>
      <c r="B21" t="s">
        <v>17</v>
      </c>
      <c r="F21" s="6">
        <f t="shared" si="2"/>
        <v>2.8926392910643326</v>
      </c>
      <c r="G21" s="6">
        <f t="shared" si="3"/>
        <v>25.156349001099116</v>
      </c>
      <c r="H21" s="6">
        <f t="shared" si="4"/>
        <v>109.16553272076875</v>
      </c>
      <c r="I21" s="6" cm="1">
        <f t="array" aca="1" ref="I21" ca="1">_FV(A7,"P/E",TRUE)</f>
        <v>29.359000000000002</v>
      </c>
      <c r="J21" s="6"/>
      <c r="K21" s="6">
        <f t="shared" si="5"/>
        <v>2.5214629404617255</v>
      </c>
      <c r="L21" s="6">
        <f t="shared" si="6"/>
        <v>13.173023779396269</v>
      </c>
      <c r="M21" s="6">
        <f t="shared" si="7"/>
        <v>38.093644830075995</v>
      </c>
      <c r="N21" s="6">
        <f t="shared" ca="1" si="0"/>
        <v>12.996500000000001</v>
      </c>
      <c r="O21" s="6"/>
      <c r="P21" s="6">
        <f t="shared" si="8"/>
        <v>2.2575646917951535</v>
      </c>
      <c r="Q21" s="6">
        <f t="shared" si="9"/>
        <v>11.148045082891924</v>
      </c>
      <c r="R21" s="6">
        <f t="shared" si="10"/>
        <v>27.838606972293274</v>
      </c>
      <c r="S21" s="6">
        <f t="shared" ca="1" si="1"/>
        <v>9.5348154205607489</v>
      </c>
      <c r="T21" s="6">
        <f t="shared" ca="1" si="11"/>
        <v>1.4991848145535769</v>
      </c>
    </row>
    <row r="22" spans="1:20" x14ac:dyDescent="0.35">
      <c r="A22" t="e" vm="5">
        <v>#VALUE!</v>
      </c>
      <c r="B22" t="s">
        <v>18</v>
      </c>
      <c r="F22" s="6">
        <f t="shared" si="2"/>
        <v>0.44568460277591065</v>
      </c>
      <c r="G22" s="6">
        <f t="shared" si="3"/>
        <v>7.700198645138288</v>
      </c>
      <c r="H22" s="6">
        <f t="shared" si="4"/>
        <v>8.8063144404963012</v>
      </c>
      <c r="I22" s="6" cm="1">
        <f t="array" aca="1" ref="I22" ca="1">_FV(A8,"P/E",TRUE)</f>
        <v>53.009900000000002</v>
      </c>
      <c r="J22" s="6"/>
      <c r="K22" s="6">
        <f t="shared" si="5"/>
        <v>0.43550517453710036</v>
      </c>
      <c r="L22" s="6">
        <f t="shared" si="6"/>
        <v>7.7176915026673818</v>
      </c>
      <c r="M22" s="6">
        <f t="shared" si="7"/>
        <v>8.7758975996284789</v>
      </c>
      <c r="N22" s="6">
        <f t="shared" ca="1" si="0"/>
        <v>53.540936122569242</v>
      </c>
      <c r="O22" s="6"/>
      <c r="P22" s="6">
        <f t="shared" si="8"/>
        <v>0.42067565555785896</v>
      </c>
      <c r="Q22" s="6">
        <f t="shared" si="9"/>
        <v>7.4099598078619744</v>
      </c>
      <c r="R22" s="6">
        <f t="shared" si="10"/>
        <v>8.3678631721694856</v>
      </c>
      <c r="S22" s="6">
        <f t="shared" ca="1" si="1"/>
        <v>49.353051928299841</v>
      </c>
      <c r="T22" s="6">
        <f t="shared" ca="1" si="11"/>
        <v>4.9501556598094121</v>
      </c>
    </row>
    <row r="23" spans="1:20" x14ac:dyDescent="0.35">
      <c r="A23" t="e" vm="6">
        <v>#VALUE!</v>
      </c>
      <c r="B23" t="s">
        <v>19</v>
      </c>
      <c r="F23" s="6">
        <f t="shared" si="2"/>
        <v>0.32299814912387359</v>
      </c>
      <c r="G23" s="6">
        <f t="shared" si="3"/>
        <v>5.6761633428300096</v>
      </c>
      <c r="H23" s="6">
        <f t="shared" si="4"/>
        <v>10.079258010118044</v>
      </c>
      <c r="I23" s="6" cm="1">
        <f t="array" aca="1" ref="I23" ca="1">_FV(A9,"P/E",TRUE)</f>
        <v>64.607100000000003</v>
      </c>
      <c r="J23" s="6"/>
      <c r="K23" s="6">
        <f t="shared" si="5"/>
        <v>0.31783360530697569</v>
      </c>
      <c r="L23" s="6">
        <f t="shared" si="6"/>
        <v>6.0672503489404894</v>
      </c>
      <c r="M23" s="6">
        <f t="shared" si="7"/>
        <v>10.098416050686378</v>
      </c>
      <c r="N23" s="6">
        <f t="shared" ca="1" si="0"/>
        <v>60.831822932745311</v>
      </c>
      <c r="O23" s="6"/>
      <c r="P23" s="6">
        <f t="shared" si="8"/>
        <v>0.31885729908876004</v>
      </c>
      <c r="Q23" s="6">
        <f t="shared" si="9"/>
        <v>6.1267217630853992</v>
      </c>
      <c r="R23" s="6">
        <f t="shared" si="10"/>
        <v>10.312951579855495</v>
      </c>
      <c r="S23" s="6">
        <f t="shared" ca="1" si="1"/>
        <v>62.063513385826766</v>
      </c>
      <c r="T23" s="6">
        <f t="shared" ca="1" si="11"/>
        <v>2.1961611247638628</v>
      </c>
    </row>
    <row r="27" spans="1:20" x14ac:dyDescent="0.35">
      <c r="C27" t="s">
        <v>27</v>
      </c>
      <c r="F27" s="6">
        <f>F21</f>
        <v>2.8926392910643326</v>
      </c>
      <c r="G27" s="6">
        <f>G21</f>
        <v>25.156349001099116</v>
      </c>
      <c r="H27" s="6">
        <f>H21</f>
        <v>109.16553272076875</v>
      </c>
      <c r="I27" s="6">
        <f ca="1">I21</f>
        <v>29.359000000000002</v>
      </c>
      <c r="K27" s="6">
        <f>K21</f>
        <v>2.5214629404617255</v>
      </c>
      <c r="L27" s="6">
        <f>L20</f>
        <v>22.008037804177892</v>
      </c>
      <c r="M27" s="6">
        <f>M21</f>
        <v>38.093644830075995</v>
      </c>
      <c r="N27" s="6">
        <f ca="1">N21</f>
        <v>12.996500000000001</v>
      </c>
      <c r="P27" s="6">
        <f>P21</f>
        <v>2.2575646917951535</v>
      </c>
      <c r="Q27" s="6">
        <f>Q20</f>
        <v>20.145045882685856</v>
      </c>
      <c r="R27" s="6">
        <f>R21</f>
        <v>27.838606972293274</v>
      </c>
      <c r="S27" s="6">
        <f ca="1">S20</f>
        <v>44.114494543332363</v>
      </c>
    </row>
    <row r="28" spans="1:20" x14ac:dyDescent="0.35">
      <c r="C28" t="s">
        <v>28</v>
      </c>
      <c r="F28" s="6">
        <f>F23</f>
        <v>0.32299814912387359</v>
      </c>
      <c r="G28" s="6">
        <f>G23</f>
        <v>5.6761633428300096</v>
      </c>
      <c r="H28" s="7">
        <f>H22</f>
        <v>8.8063144404963012</v>
      </c>
      <c r="I28" s="6">
        <f ca="1">I22</f>
        <v>53.009900000000002</v>
      </c>
      <c r="K28" s="6">
        <f>K23</f>
        <v>0.31783360530697569</v>
      </c>
      <c r="L28" s="6">
        <f>L23</f>
        <v>6.0672503489404894</v>
      </c>
      <c r="M28" s="6">
        <f>M22</f>
        <v>8.7758975996284789</v>
      </c>
      <c r="N28" s="6">
        <f ca="1">N22</f>
        <v>53.540936122569242</v>
      </c>
      <c r="P28" s="6">
        <f>P23</f>
        <v>0.31885729908876004</v>
      </c>
      <c r="Q28" s="6">
        <f>Q23</f>
        <v>6.1267217630853992</v>
      </c>
      <c r="R28" s="6">
        <f>R22</f>
        <v>8.3678631721694856</v>
      </c>
      <c r="S28" s="6">
        <f ca="1">S22</f>
        <v>49.353051928299841</v>
      </c>
    </row>
    <row r="29" spans="1:20" x14ac:dyDescent="0.35">
      <c r="C29" t="s">
        <v>29</v>
      </c>
      <c r="F29" s="6">
        <f>MEDIAN(F18:F23)</f>
        <v>0.71084704159463752</v>
      </c>
      <c r="G29" s="6">
        <f t="shared" ref="G29:I29" si="12">MEDIAN(G18:G23)</f>
        <v>11.27988525873212</v>
      </c>
      <c r="H29" s="6">
        <f t="shared" si="12"/>
        <v>16.819248901150878</v>
      </c>
      <c r="I29" s="6">
        <f t="shared" ca="1" si="12"/>
        <v>49.353850000000001</v>
      </c>
      <c r="K29" s="6">
        <f>MEDIAN(K18:K23)</f>
        <v>0.7032137168670981</v>
      </c>
      <c r="L29" s="6">
        <f t="shared" ref="L29:N29" si="13">MEDIAN(L18:L23)</f>
        <v>10.737205019411132</v>
      </c>
      <c r="M29" s="6">
        <f t="shared" si="13"/>
        <v>15.753505320351875</v>
      </c>
      <c r="N29" s="6">
        <f t="shared" ca="1" si="13"/>
        <v>46.561592266658401</v>
      </c>
      <c r="P29" s="6">
        <f>MEDIAN(P18:P23)</f>
        <v>0.68767497978866732</v>
      </c>
      <c r="Q29" s="6">
        <f t="shared" ref="Q29:S29" si="14">MEDIAN(Q18:Q23)</f>
        <v>9.5173523548919317</v>
      </c>
      <c r="R29" s="6">
        <f t="shared" si="14"/>
        <v>14.46700217156881</v>
      </c>
      <c r="S29" s="6">
        <f t="shared" ca="1" si="14"/>
        <v>42.520822546391457</v>
      </c>
    </row>
    <row r="30" spans="1:20" x14ac:dyDescent="0.35">
      <c r="C30" t="s">
        <v>30</v>
      </c>
      <c r="F30" s="6">
        <f>AVERAGE(F18:F23)</f>
        <v>1.0181340860729098</v>
      </c>
      <c r="G30" s="6">
        <f t="shared" ref="G30:I30" si="15">AVERAGE(G18:G23)</f>
        <v>14.231946969767499</v>
      </c>
      <c r="H30" s="6">
        <f t="shared" si="15"/>
        <v>32.02682082906977</v>
      </c>
      <c r="I30" s="6">
        <f t="shared" ca="1" si="15"/>
        <v>43.445349999999998</v>
      </c>
      <c r="K30" s="6">
        <f>AVERAGE(K18:K23)</f>
        <v>0.94403692660044591</v>
      </c>
      <c r="L30" s="6">
        <f t="shared" ref="L30:N30" si="16">AVERAGE(L18:L23)</f>
        <v>11.740068912334051</v>
      </c>
      <c r="M30" s="6">
        <f t="shared" si="16"/>
        <v>19.357158299928145</v>
      </c>
      <c r="N30" s="6">
        <f t="shared" ca="1" si="16"/>
        <v>38.983567567229358</v>
      </c>
      <c r="P30" s="6">
        <f>AVERAGE(P18:P23)</f>
        <v>0.88225481448684995</v>
      </c>
      <c r="Q30" s="6">
        <f t="shared" ref="Q30:S30" si="17">AVERAGE(Q18:Q23)</f>
        <v>10.822608236291478</v>
      </c>
      <c r="R30" s="6">
        <f t="shared" si="17"/>
        <v>16.784280176473551</v>
      </c>
      <c r="S30" s="6">
        <f t="shared" ca="1" si="17"/>
        <v>36.291657380084821</v>
      </c>
    </row>
    <row r="31" spans="1:20" x14ac:dyDescent="0.35">
      <c r="C31" t="s">
        <v>31</v>
      </c>
      <c r="F31" s="6">
        <f>AVERAGE(F19:F23)</f>
        <v>1.061890644534238</v>
      </c>
      <c r="G31" s="6">
        <f t="shared" ref="G31:I31" si="18">AVERAGE(G19:G23)</f>
        <v>14.361015820500478</v>
      </c>
      <c r="H31" s="6">
        <f t="shared" si="18"/>
        <v>34.522850214297584</v>
      </c>
      <c r="I31" s="6">
        <f t="shared" ca="1" si="18"/>
        <v>42.994860000000003</v>
      </c>
      <c r="K31" s="6">
        <f>AVERAGE(K19:K23)</f>
        <v>0.9768679360807786</v>
      </c>
      <c r="L31" s="6">
        <f t="shared" ref="L31:N31" si="19">AVERAGE(L19:L23)</f>
        <v>11.500649724948389</v>
      </c>
      <c r="M31" s="6">
        <f t="shared" si="19"/>
        <v>19.513739058324251</v>
      </c>
      <c r="N31" s="6">
        <f t="shared" ca="1" si="19"/>
        <v>37.812646588575909</v>
      </c>
      <c r="P31" s="6">
        <f>AVERAGE(P19:P23)</f>
        <v>0.90806171910751454</v>
      </c>
      <c r="Q31" s="6">
        <f t="shared" ref="Q31:S31" si="20">AVERAGE(Q19:Q23)</f>
        <v>10.54328643268342</v>
      </c>
      <c r="R31" s="6">
        <f t="shared" si="20"/>
        <v>16.663835429036631</v>
      </c>
      <c r="S31" s="6">
        <f t="shared" ca="1" si="20"/>
        <v>35.364558746211671</v>
      </c>
    </row>
    <row r="33" spans="1:23" x14ac:dyDescent="0.35">
      <c r="C33" t="s">
        <v>14</v>
      </c>
      <c r="F33" s="6">
        <f>F18</f>
        <v>0.79935129376626923</v>
      </c>
      <c r="G33" s="6">
        <f>G18</f>
        <v>13.586602716102608</v>
      </c>
      <c r="H33" s="6">
        <f>H18</f>
        <v>19.546673902930689</v>
      </c>
      <c r="I33" s="6">
        <f ca="1">I18</f>
        <v>45.697800000000001</v>
      </c>
      <c r="K33" s="6">
        <f>K18</f>
        <v>0.77988187919878305</v>
      </c>
      <c r="L33" s="6">
        <f t="shared" ref="L33:N33" si="21">L18</f>
        <v>12.937164849262347</v>
      </c>
      <c r="M33" s="6">
        <f t="shared" si="21"/>
        <v>18.574254507947618</v>
      </c>
      <c r="N33" s="6">
        <f t="shared" ca="1" si="21"/>
        <v>44.838172460496615</v>
      </c>
      <c r="P33" s="6">
        <f>P18</f>
        <v>0.75322029138352653</v>
      </c>
      <c r="Q33" s="6">
        <f t="shared" ref="Q33:S33" si="22">Q18</f>
        <v>12.219217254331758</v>
      </c>
      <c r="R33" s="6">
        <f t="shared" si="22"/>
        <v>17.386503913658149</v>
      </c>
      <c r="S33" s="6">
        <f t="shared" ca="1" si="22"/>
        <v>40.927150549450552</v>
      </c>
    </row>
    <row r="36" spans="1:23" x14ac:dyDescent="0.35">
      <c r="W36">
        <f>2.7*587824</f>
        <v>1587124.8</v>
      </c>
    </row>
    <row r="37" spans="1:23" x14ac:dyDescent="0.35">
      <c r="A37" t="s">
        <v>32</v>
      </c>
      <c r="F37" t="s">
        <v>33</v>
      </c>
      <c r="I37">
        <f t="shared" ref="I37:I42" ca="1" si="23">I18*I4</f>
        <v>297.949656</v>
      </c>
    </row>
    <row r="38" spans="1:23" x14ac:dyDescent="0.35">
      <c r="A38" t="s">
        <v>34</v>
      </c>
      <c r="I38">
        <f t="shared" ca="1" si="23"/>
        <v>106.40011199999999</v>
      </c>
    </row>
    <row r="39" spans="1:23" x14ac:dyDescent="0.35">
      <c r="A39">
        <v>50.49</v>
      </c>
      <c r="I39">
        <f t="shared" ca="1" si="23"/>
        <v>755.90186400000005</v>
      </c>
    </row>
    <row r="40" spans="1:23" x14ac:dyDescent="0.35">
      <c r="A40">
        <v>12.51</v>
      </c>
      <c r="I40">
        <f t="shared" ca="1" si="23"/>
        <v>40.809010000000001</v>
      </c>
    </row>
    <row r="41" spans="1:23" x14ac:dyDescent="0.35">
      <c r="A41" t="s">
        <v>35</v>
      </c>
      <c r="I41">
        <f t="shared" ca="1" si="23"/>
        <v>454.29484300000001</v>
      </c>
    </row>
    <row r="42" spans="1:23" x14ac:dyDescent="0.35">
      <c r="I42">
        <f t="shared" ca="1" si="23"/>
        <v>275.87231700000001</v>
      </c>
    </row>
  </sheetData>
  <pageMargins left="0.7" right="0.7" top="0.75" bottom="0.75" header="0.3" footer="0.3"/>
  <ignoredErrors>
    <ignoredError sqref="L27 Q2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1C3D-FFBA-4219-B22B-6F5C36BE9E9F}">
  <dimension ref="A1:O46"/>
  <sheetViews>
    <sheetView zoomScale="63" zoomScaleNormal="70" workbookViewId="0">
      <selection activeCell="E46" sqref="E46"/>
    </sheetView>
  </sheetViews>
  <sheetFormatPr defaultRowHeight="14.5" x14ac:dyDescent="0.35"/>
  <cols>
    <col min="1" max="1" width="28.7265625" customWidth="1"/>
    <col min="2" max="2" width="12.7265625" customWidth="1"/>
    <col min="3" max="3" width="10.26953125" customWidth="1"/>
    <col min="7" max="7" width="11.453125" customWidth="1"/>
    <col min="8" max="8" width="10.26953125" customWidth="1"/>
    <col min="12" max="12" width="11.7265625" customWidth="1"/>
  </cols>
  <sheetData>
    <row r="1" spans="1:15" x14ac:dyDescent="0.35">
      <c r="B1" s="1" t="s">
        <v>20</v>
      </c>
      <c r="C1" s="1"/>
      <c r="D1" s="1"/>
      <c r="E1" s="1"/>
      <c r="G1" s="1" t="s">
        <v>21</v>
      </c>
      <c r="H1" s="1"/>
      <c r="I1" s="1"/>
      <c r="J1" s="1"/>
      <c r="L1" s="1" t="s">
        <v>2</v>
      </c>
      <c r="M1" s="1"/>
      <c r="N1" s="1"/>
      <c r="O1" s="1"/>
    </row>
    <row r="2" spans="1:15" ht="45" customHeight="1" x14ac:dyDescent="0.35">
      <c r="B2" t="s">
        <v>22</v>
      </c>
      <c r="C2" t="s">
        <v>23</v>
      </c>
      <c r="D2" t="s">
        <v>24</v>
      </c>
      <c r="E2" t="s">
        <v>25</v>
      </c>
      <c r="G2" t="s">
        <v>22</v>
      </c>
      <c r="H2" t="s">
        <v>23</v>
      </c>
      <c r="I2" t="s">
        <v>24</v>
      </c>
      <c r="J2" t="s">
        <v>25</v>
      </c>
      <c r="L2" t="s">
        <v>22</v>
      </c>
      <c r="M2" t="s">
        <v>23</v>
      </c>
      <c r="N2" t="s">
        <v>24</v>
      </c>
      <c r="O2" t="s">
        <v>25</v>
      </c>
    </row>
    <row r="4" spans="1:15" x14ac:dyDescent="0.35">
      <c r="A4" t="s">
        <v>27</v>
      </c>
      <c r="B4" s="6">
        <f>Sheet1!F27</f>
        <v>2.8926392910643326</v>
      </c>
      <c r="C4" s="6">
        <f>Sheet1!G27</f>
        <v>25.156349001099116</v>
      </c>
      <c r="D4" s="6">
        <f>Sheet1!H27</f>
        <v>109.16553272076875</v>
      </c>
      <c r="E4" s="6">
        <f ca="1">Sheet1!I27</f>
        <v>29.359000000000002</v>
      </c>
      <c r="F4" s="6"/>
      <c r="G4" s="6">
        <f>Sheet1!K27</f>
        <v>2.5214629404617255</v>
      </c>
      <c r="H4" s="6">
        <f>Sheet1!L27</f>
        <v>22.008037804177892</v>
      </c>
      <c r="I4" s="6">
        <f>Sheet1!M27</f>
        <v>38.093644830075995</v>
      </c>
      <c r="J4" s="6">
        <f ca="1">Sheet1!N27</f>
        <v>12.996500000000001</v>
      </c>
      <c r="K4" s="6"/>
      <c r="L4" s="6">
        <f>Sheet1!P27</f>
        <v>2.2575646917951535</v>
      </c>
      <c r="M4" s="6">
        <f>Sheet1!Q27</f>
        <v>20.145045882685856</v>
      </c>
      <c r="N4" s="6">
        <f>Sheet1!R27</f>
        <v>27.838606972293274</v>
      </c>
      <c r="O4" s="6">
        <f ca="1">Sheet1!S27</f>
        <v>44.114494543332363</v>
      </c>
    </row>
    <row r="5" spans="1:15" x14ac:dyDescent="0.35">
      <c r="A5" t="s">
        <v>28</v>
      </c>
      <c r="B5" s="6">
        <f>Sheet1!F28</f>
        <v>0.32299814912387359</v>
      </c>
      <c r="C5" s="6">
        <f>Sheet1!G28</f>
        <v>5.6761633428300096</v>
      </c>
      <c r="D5" s="6">
        <f>Sheet1!H28</f>
        <v>8.8063144404963012</v>
      </c>
      <c r="E5" s="6">
        <f ca="1">Sheet1!I28</f>
        <v>53.009900000000002</v>
      </c>
      <c r="F5" s="6"/>
      <c r="G5" s="6">
        <f>Sheet1!K28</f>
        <v>0.31783360530697569</v>
      </c>
      <c r="H5" s="6">
        <f>Sheet1!L28</f>
        <v>6.0672503489404894</v>
      </c>
      <c r="I5" s="6">
        <f>Sheet1!M28</f>
        <v>8.7758975996284789</v>
      </c>
      <c r="J5" s="6">
        <f ca="1">Sheet1!N28</f>
        <v>53.540936122569242</v>
      </c>
      <c r="K5" s="6"/>
      <c r="L5" s="6">
        <f>Sheet1!P28</f>
        <v>0.31885729908876004</v>
      </c>
      <c r="M5" s="6">
        <f>Sheet1!Q28</f>
        <v>6.1267217630853992</v>
      </c>
      <c r="N5" s="6">
        <f>Sheet1!R28</f>
        <v>8.3678631721694856</v>
      </c>
      <c r="O5" s="6">
        <f ca="1">Sheet1!S28</f>
        <v>49.353051928299841</v>
      </c>
    </row>
    <row r="6" spans="1:15" x14ac:dyDescent="0.35">
      <c r="A6" t="s">
        <v>29</v>
      </c>
      <c r="B6" s="6">
        <f>Sheet1!F29</f>
        <v>0.71084704159463752</v>
      </c>
      <c r="C6" s="6">
        <f>Sheet1!G29</f>
        <v>11.27988525873212</v>
      </c>
      <c r="D6" s="6">
        <f>Sheet1!H29</f>
        <v>16.819248901150878</v>
      </c>
      <c r="E6" s="6">
        <f ca="1">Sheet1!I29</f>
        <v>49.353850000000001</v>
      </c>
      <c r="F6" s="6"/>
      <c r="G6" s="6">
        <f>Sheet1!K29</f>
        <v>0.7032137168670981</v>
      </c>
      <c r="H6" s="6">
        <f>Sheet1!L29</f>
        <v>10.737205019411132</v>
      </c>
      <c r="I6" s="6">
        <f>Sheet1!M29</f>
        <v>15.753505320351875</v>
      </c>
      <c r="J6" s="6">
        <f ca="1">Sheet1!N29</f>
        <v>46.561592266658401</v>
      </c>
      <c r="K6" s="6"/>
      <c r="L6" s="6">
        <f>Sheet1!P29</f>
        <v>0.68767497978866732</v>
      </c>
      <c r="M6" s="6">
        <f>Sheet1!Q29</f>
        <v>9.5173523548919317</v>
      </c>
      <c r="N6" s="6">
        <f>Sheet1!R29</f>
        <v>14.46700217156881</v>
      </c>
      <c r="O6" s="6">
        <f ca="1">Sheet1!S29</f>
        <v>42.520822546391457</v>
      </c>
    </row>
    <row r="9" spans="1:15" x14ac:dyDescent="0.35">
      <c r="A9" t="s">
        <v>36</v>
      </c>
    </row>
    <row r="11" spans="1:15" x14ac:dyDescent="0.35">
      <c r="A11" s="9" t="s">
        <v>27</v>
      </c>
    </row>
    <row r="12" spans="1:15" x14ac:dyDescent="0.35">
      <c r="A12" t="s">
        <v>37</v>
      </c>
      <c r="B12" s="8">
        <f>B4*Sheet1!F4</f>
        <v>1824659.5089676345</v>
      </c>
      <c r="C12" s="8">
        <f>C4*Sheet1!G4</f>
        <v>933602.42412879039</v>
      </c>
      <c r="D12" s="8">
        <f>D4*Sheet1!H4</f>
        <v>2816034.0820649508</v>
      </c>
      <c r="E12" s="8">
        <f ca="1">E13+E14</f>
        <v>566026.04988000006</v>
      </c>
      <c r="F12" s="8"/>
      <c r="G12" s="8">
        <f>G4*Sheet1!K4</f>
        <v>1630230.4317205346</v>
      </c>
      <c r="H12" s="8">
        <f>H4*Sheet1!L4</f>
        <v>857763.27341783338</v>
      </c>
      <c r="I12" s="8">
        <f>I4*Sheet1!M4</f>
        <v>1034109.129379658</v>
      </c>
      <c r="J12" s="8">
        <f ca="1">J14+J13</f>
        <v>283312.44906750001</v>
      </c>
      <c r="K12" s="8"/>
      <c r="L12" s="8">
        <f>L4*Sheet1!P4</f>
        <v>1511274.7589343542</v>
      </c>
      <c r="M12" s="8">
        <f>M4*Sheet1!Q4</f>
        <v>831285.31834903185</v>
      </c>
      <c r="N12" s="8">
        <f>N4*Sheet1!R4</f>
        <v>807347.44080347719</v>
      </c>
      <c r="O12" s="8">
        <f ca="1">O14+O13</f>
        <v>915137.12306126172</v>
      </c>
    </row>
    <row r="13" spans="1:15" x14ac:dyDescent="0.35">
      <c r="A13" t="s">
        <v>12</v>
      </c>
      <c r="B13" s="8">
        <f>Sheet1!V4</f>
        <v>50913</v>
      </c>
      <c r="C13" s="8">
        <f>Sheet1!$V$4</f>
        <v>50913</v>
      </c>
      <c r="D13" s="8">
        <f>Sheet1!$V$4</f>
        <v>50913</v>
      </c>
      <c r="E13" s="8">
        <f>Sheet1!$V$4</f>
        <v>50913</v>
      </c>
      <c r="F13" s="8"/>
      <c r="G13" s="8">
        <f>Sheet1!$V$4</f>
        <v>50913</v>
      </c>
      <c r="H13" s="8">
        <f>Sheet1!$V$4</f>
        <v>50913</v>
      </c>
      <c r="I13" s="8">
        <f>Sheet1!$V$4</f>
        <v>50913</v>
      </c>
      <c r="J13" s="8">
        <f>Sheet1!$V$4</f>
        <v>50913</v>
      </c>
      <c r="K13" s="8"/>
      <c r="L13" s="8">
        <f>Sheet1!$V$4</f>
        <v>50913</v>
      </c>
      <c r="M13" s="8">
        <f>Sheet1!$V$4</f>
        <v>50913</v>
      </c>
      <c r="N13" s="8">
        <f>Sheet1!$V$4</f>
        <v>50913</v>
      </c>
      <c r="O13" s="8">
        <f>Sheet1!$V$4</f>
        <v>50913</v>
      </c>
    </row>
    <row r="14" spans="1:15" x14ac:dyDescent="0.35">
      <c r="A14" t="s">
        <v>38</v>
      </c>
      <c r="B14" s="8">
        <f>B12-B13</f>
        <v>1773746.5089676345</v>
      </c>
      <c r="C14" s="8">
        <f t="shared" ref="C14:N14" si="0">C12-C13</f>
        <v>882689.42412879039</v>
      </c>
      <c r="D14" s="8">
        <f t="shared" si="0"/>
        <v>2765121.0820649508</v>
      </c>
      <c r="E14" s="8">
        <f ca="1">E15*E16</f>
        <v>515113.04988000001</v>
      </c>
      <c r="F14" s="8"/>
      <c r="G14" s="8">
        <f t="shared" si="0"/>
        <v>1579317.4317205346</v>
      </c>
      <c r="H14" s="8">
        <f t="shared" si="0"/>
        <v>806850.27341783338</v>
      </c>
      <c r="I14" s="8">
        <f t="shared" si="0"/>
        <v>983196.12937965803</v>
      </c>
      <c r="J14" s="8">
        <f ca="1">J15*J16</f>
        <v>232399.44906750001</v>
      </c>
      <c r="K14" s="8"/>
      <c r="L14" s="8">
        <f t="shared" si="0"/>
        <v>1460361.7589343542</v>
      </c>
      <c r="M14" s="8">
        <f t="shared" si="0"/>
        <v>780372.31834903185</v>
      </c>
      <c r="N14" s="8">
        <f t="shared" si="0"/>
        <v>756434.44080347719</v>
      </c>
      <c r="O14" s="8">
        <f ca="1">O15*O16</f>
        <v>864224.12306126172</v>
      </c>
    </row>
    <row r="15" spans="1:15" x14ac:dyDescent="0.35">
      <c r="A15" t="s">
        <v>39</v>
      </c>
      <c r="B15" s="8">
        <f>Sheet1!$W$4</f>
        <v>2691</v>
      </c>
      <c r="C15" s="8">
        <f>Sheet1!$W$4</f>
        <v>2691</v>
      </c>
      <c r="D15" s="8">
        <f>Sheet1!$W$4</f>
        <v>2691</v>
      </c>
      <c r="E15" s="8">
        <f>Sheet1!$W$4</f>
        <v>2691</v>
      </c>
      <c r="F15" s="8"/>
      <c r="G15" s="8">
        <f>Sheet1!$W$4</f>
        <v>2691</v>
      </c>
      <c r="H15" s="8">
        <f>Sheet1!$W$4</f>
        <v>2691</v>
      </c>
      <c r="I15" s="8">
        <f>Sheet1!$W$4</f>
        <v>2691</v>
      </c>
      <c r="J15" s="8">
        <f>Sheet1!$W$4</f>
        <v>2691</v>
      </c>
      <c r="K15" s="8"/>
      <c r="L15" s="8">
        <f>Sheet1!$W$4</f>
        <v>2691</v>
      </c>
      <c r="M15" s="8">
        <f>Sheet1!$W$4</f>
        <v>2691</v>
      </c>
      <c r="N15" s="8">
        <f>Sheet1!$W$4</f>
        <v>2691</v>
      </c>
      <c r="O15" s="8">
        <f>Sheet1!$W$4</f>
        <v>2691</v>
      </c>
    </row>
    <row r="16" spans="1:15" x14ac:dyDescent="0.35">
      <c r="A16" t="s">
        <v>40</v>
      </c>
      <c r="B16">
        <f>B14/B15</f>
        <v>659.14028575534542</v>
      </c>
      <c r="C16">
        <f t="shared" ref="C16:N16" si="1">C14/C15</f>
        <v>328.01539358186193</v>
      </c>
      <c r="D16">
        <f t="shared" si="1"/>
        <v>1027.5440661705502</v>
      </c>
      <c r="E16">
        <f ca="1">E4*Sheet1!I4</f>
        <v>191.42068</v>
      </c>
      <c r="G16">
        <f t="shared" si="1"/>
        <v>586.88867771108676</v>
      </c>
      <c r="H16">
        <f t="shared" si="1"/>
        <v>299.8328775242785</v>
      </c>
      <c r="I16">
        <f t="shared" si="1"/>
        <v>365.3645965736373</v>
      </c>
      <c r="J16">
        <f ca="1">J4*Sheet1!N4</f>
        <v>86.361742500000005</v>
      </c>
      <c r="L16">
        <f t="shared" si="1"/>
        <v>542.6836711015809</v>
      </c>
      <c r="M16">
        <f t="shared" si="1"/>
        <v>289.9934293381761</v>
      </c>
      <c r="N16">
        <f t="shared" si="1"/>
        <v>281.09789699125872</v>
      </c>
      <c r="O16">
        <f ca="1">O4*Sheet1!S4</f>
        <v>321.15352027545958</v>
      </c>
    </row>
    <row r="18" spans="1:15" x14ac:dyDescent="0.35">
      <c r="A18" s="9" t="s">
        <v>28</v>
      </c>
    </row>
    <row r="19" spans="1:15" x14ac:dyDescent="0.35">
      <c r="A19" t="s">
        <v>37</v>
      </c>
      <c r="B19">
        <f>B5*Sheet1!F4</f>
        <v>203745.29447844473</v>
      </c>
      <c r="C19">
        <f>C5*Sheet1!G4</f>
        <v>210653.77397910733</v>
      </c>
      <c r="D19">
        <f>D5*Sheet1!H4</f>
        <v>227167.68730704259</v>
      </c>
      <c r="E19">
        <f ca="1">E20+E21</f>
        <v>980988.65866800002</v>
      </c>
      <c r="G19">
        <f>G5*Sheet1!K4</f>
        <v>205492.61592558003</v>
      </c>
      <c r="H19">
        <f>H5*Sheet1!L4</f>
        <v>236471.08234995557</v>
      </c>
      <c r="I19">
        <f>I5*Sheet1!M4</f>
        <v>238234.90418831451</v>
      </c>
      <c r="J19">
        <f ca="1">J20+J21</f>
        <v>1008315.6897582656</v>
      </c>
      <c r="L19">
        <f>L5*Sheet1!P4</f>
        <v>213451.68515709136</v>
      </c>
      <c r="M19">
        <f>M5*Sheet1!Q4</f>
        <v>252819.17355371901</v>
      </c>
      <c r="N19">
        <f>N5*Sheet1!R4</f>
        <v>242676.39985608726</v>
      </c>
      <c r="O19">
        <f ca="1">O21+O20</f>
        <v>1017762.9767403194</v>
      </c>
    </row>
    <row r="20" spans="1:15" x14ac:dyDescent="0.35">
      <c r="A20" t="s">
        <v>12</v>
      </c>
      <c r="B20">
        <f>Sheet1!$V$4</f>
        <v>50913</v>
      </c>
      <c r="C20">
        <f>Sheet1!$V$4</f>
        <v>50913</v>
      </c>
      <c r="D20">
        <f>Sheet1!$V$4</f>
        <v>50913</v>
      </c>
      <c r="E20">
        <f>Sheet1!$V$4</f>
        <v>50913</v>
      </c>
      <c r="G20">
        <f>Sheet1!$V$4</f>
        <v>50913</v>
      </c>
      <c r="H20">
        <f>Sheet1!$V$4</f>
        <v>50913</v>
      </c>
      <c r="I20">
        <f>Sheet1!$V$4</f>
        <v>50913</v>
      </c>
      <c r="J20">
        <f>Sheet1!$V$4</f>
        <v>50913</v>
      </c>
      <c r="L20">
        <f>Sheet1!$V$4</f>
        <v>50913</v>
      </c>
      <c r="M20">
        <f>Sheet1!$V$4</f>
        <v>50913</v>
      </c>
      <c r="N20">
        <f>Sheet1!$V$4</f>
        <v>50913</v>
      </c>
      <c r="O20">
        <f>Sheet1!$V$4</f>
        <v>50913</v>
      </c>
    </row>
    <row r="21" spans="1:15" x14ac:dyDescent="0.35">
      <c r="A21" t="s">
        <v>38</v>
      </c>
      <c r="B21">
        <f>B19-B20</f>
        <v>152832.29447844473</v>
      </c>
      <c r="C21">
        <f t="shared" ref="C21:N21" si="2">C19-C20</f>
        <v>159740.77397910733</v>
      </c>
      <c r="D21">
        <f t="shared" si="2"/>
        <v>176254.68730704259</v>
      </c>
      <c r="E21">
        <f ca="1">E22*E23</f>
        <v>930075.65866800002</v>
      </c>
      <c r="G21">
        <f t="shared" si="2"/>
        <v>154579.61592558003</v>
      </c>
      <c r="H21">
        <f t="shared" si="2"/>
        <v>185558.08234995557</v>
      </c>
      <c r="I21">
        <f t="shared" si="2"/>
        <v>187321.90418831451</v>
      </c>
      <c r="J21">
        <f ca="1">J23*J22</f>
        <v>957402.68975826562</v>
      </c>
      <c r="L21">
        <f t="shared" si="2"/>
        <v>162538.68515709136</v>
      </c>
      <c r="M21">
        <f t="shared" si="2"/>
        <v>201906.17355371901</v>
      </c>
      <c r="N21">
        <f t="shared" si="2"/>
        <v>191763.39985608726</v>
      </c>
      <c r="O21">
        <f ca="1">O23*O22</f>
        <v>966849.9767403194</v>
      </c>
    </row>
    <row r="22" spans="1:15" x14ac:dyDescent="0.35">
      <c r="A22" t="s">
        <v>39</v>
      </c>
      <c r="B22">
        <f>Sheet1!$W$4</f>
        <v>2691</v>
      </c>
      <c r="C22">
        <f>Sheet1!$W$4</f>
        <v>2691</v>
      </c>
      <c r="D22">
        <f>Sheet1!$W$4</f>
        <v>2691</v>
      </c>
      <c r="E22">
        <f>Sheet1!$W$4</f>
        <v>2691</v>
      </c>
      <c r="G22">
        <f>Sheet1!$W$4</f>
        <v>2691</v>
      </c>
      <c r="H22">
        <f>Sheet1!$W$4</f>
        <v>2691</v>
      </c>
      <c r="I22">
        <f>Sheet1!$W$4</f>
        <v>2691</v>
      </c>
      <c r="J22">
        <f>Sheet1!$W$4</f>
        <v>2691</v>
      </c>
      <c r="L22">
        <f>Sheet1!$W$4</f>
        <v>2691</v>
      </c>
      <c r="M22">
        <f>Sheet1!$W$4</f>
        <v>2691</v>
      </c>
      <c r="N22">
        <f>Sheet1!$W$4</f>
        <v>2691</v>
      </c>
      <c r="O22">
        <f>Sheet1!$W$4</f>
        <v>2691</v>
      </c>
    </row>
    <row r="23" spans="1:15" x14ac:dyDescent="0.35">
      <c r="A23" t="s">
        <v>40</v>
      </c>
      <c r="B23">
        <f>B21/B22</f>
        <v>56.793866398530184</v>
      </c>
      <c r="C23">
        <f t="shared" ref="C23:N23" si="3">C21/C22</f>
        <v>59.361120021964815</v>
      </c>
      <c r="D23">
        <f t="shared" si="3"/>
        <v>65.497839950591825</v>
      </c>
      <c r="E23">
        <f ca="1">E5*Sheet1!I4</f>
        <v>345.624548</v>
      </c>
      <c r="G23">
        <f t="shared" si="3"/>
        <v>57.4431868917057</v>
      </c>
      <c r="H23">
        <f t="shared" si="3"/>
        <v>68.955065904851566</v>
      </c>
      <c r="I23">
        <f t="shared" si="3"/>
        <v>69.610518093019138</v>
      </c>
      <c r="J23">
        <f ca="1">J5*Sheet1!N4</f>
        <v>355.77952053447257</v>
      </c>
      <c r="L23">
        <f t="shared" si="3"/>
        <v>60.400849185095268</v>
      </c>
      <c r="M23">
        <f t="shared" si="3"/>
        <v>75.030164828583807</v>
      </c>
      <c r="N23">
        <f t="shared" si="3"/>
        <v>71.261018155365022</v>
      </c>
      <c r="O23">
        <f ca="1">O5*Sheet1!S4</f>
        <v>359.29021803802283</v>
      </c>
    </row>
    <row r="25" spans="1:15" x14ac:dyDescent="0.35">
      <c r="A25" s="9" t="s">
        <v>29</v>
      </c>
    </row>
    <row r="26" spans="1:15" x14ac:dyDescent="0.35">
      <c r="A26" t="s">
        <v>37</v>
      </c>
      <c r="B26">
        <f>B6*Sheet1!F4</f>
        <v>448398.04875564779</v>
      </c>
      <c r="C26">
        <f>C6*Sheet1!G4</f>
        <v>418619.10172206647</v>
      </c>
      <c r="D26">
        <f>D6*Sheet1!H4</f>
        <v>433869.34465408808</v>
      </c>
      <c r="E26">
        <f ca="1">E28+E27</f>
        <v>916842.09148199996</v>
      </c>
      <c r="G26">
        <f>G6*Sheet1!K4</f>
        <v>454656.85132382892</v>
      </c>
      <c r="H26">
        <f>H6*Sheet1!L4</f>
        <v>418482.56563154887</v>
      </c>
      <c r="I26">
        <f>I6*Sheet1!M4</f>
        <v>427652.53217893216</v>
      </c>
      <c r="J26">
        <f ca="1">J27+J28</f>
        <v>963076.94206812594</v>
      </c>
      <c r="L26">
        <f>L6*Sheet1!P4</f>
        <v>460348.19869498821</v>
      </c>
      <c r="M26">
        <f>M6*Sheet1!Q4</f>
        <v>392733.54492461553</v>
      </c>
      <c r="N26">
        <f>N6*Sheet1!R4</f>
        <v>419557.52997766703</v>
      </c>
      <c r="O26">
        <f ca="1">O27+O28</f>
        <v>883916.32367863075</v>
      </c>
    </row>
    <row r="27" spans="1:15" x14ac:dyDescent="0.35">
      <c r="A27" t="s">
        <v>12</v>
      </c>
      <c r="B27">
        <f>Sheet1!$V$4</f>
        <v>50913</v>
      </c>
      <c r="C27">
        <f>Sheet1!$V$4</f>
        <v>50913</v>
      </c>
      <c r="D27">
        <f>Sheet1!$V$4</f>
        <v>50913</v>
      </c>
      <c r="E27">
        <f>Sheet1!$V$4</f>
        <v>50913</v>
      </c>
      <c r="G27">
        <f>Sheet1!$V$4</f>
        <v>50913</v>
      </c>
      <c r="H27">
        <f>Sheet1!$V$4</f>
        <v>50913</v>
      </c>
      <c r="I27">
        <f>Sheet1!$V$4</f>
        <v>50913</v>
      </c>
      <c r="J27">
        <f>Sheet1!$V$4</f>
        <v>50913</v>
      </c>
      <c r="L27">
        <f>Sheet1!$V$4</f>
        <v>50913</v>
      </c>
      <c r="M27">
        <f>Sheet1!$V$4</f>
        <v>50913</v>
      </c>
      <c r="N27">
        <f>Sheet1!$V$4</f>
        <v>50913</v>
      </c>
      <c r="O27">
        <f>Sheet1!$V$4</f>
        <v>50913</v>
      </c>
    </row>
    <row r="28" spans="1:15" x14ac:dyDescent="0.35">
      <c r="A28" t="s">
        <v>38</v>
      </c>
      <c r="B28">
        <f>B26-B27</f>
        <v>397485.04875564779</v>
      </c>
      <c r="C28">
        <f t="shared" ref="C28:N28" si="4">C26-C27</f>
        <v>367706.10172206647</v>
      </c>
      <c r="D28">
        <f t="shared" si="4"/>
        <v>382956.34465408808</v>
      </c>
      <c r="E28">
        <f ca="1">E29*E30</f>
        <v>865929.09148199996</v>
      </c>
      <c r="G28">
        <f t="shared" si="4"/>
        <v>403743.85132382892</v>
      </c>
      <c r="H28">
        <f t="shared" si="4"/>
        <v>367569.56563154887</v>
      </c>
      <c r="I28">
        <f t="shared" si="4"/>
        <v>376739.53217893216</v>
      </c>
      <c r="J28">
        <f ca="1">J30*J29</f>
        <v>912163.94206812594</v>
      </c>
      <c r="L28">
        <f t="shared" si="4"/>
        <v>409435.19869498821</v>
      </c>
      <c r="M28">
        <f t="shared" si="4"/>
        <v>341820.54492461553</v>
      </c>
      <c r="N28">
        <f t="shared" si="4"/>
        <v>368644.52997766703</v>
      </c>
      <c r="O28">
        <f ca="1">O30*O29</f>
        <v>833003.32367863075</v>
      </c>
    </row>
    <row r="29" spans="1:15" x14ac:dyDescent="0.35">
      <c r="A29" t="s">
        <v>39</v>
      </c>
      <c r="B29">
        <f>Sheet1!$W$4</f>
        <v>2691</v>
      </c>
      <c r="C29">
        <f>Sheet1!$W$4</f>
        <v>2691</v>
      </c>
      <c r="D29">
        <f>Sheet1!$W$4</f>
        <v>2691</v>
      </c>
      <c r="E29">
        <f>Sheet1!$W$4</f>
        <v>2691</v>
      </c>
      <c r="G29">
        <f>Sheet1!$W$4</f>
        <v>2691</v>
      </c>
      <c r="H29">
        <f>Sheet1!$W$4</f>
        <v>2691</v>
      </c>
      <c r="I29">
        <f>Sheet1!$W$4</f>
        <v>2691</v>
      </c>
      <c r="J29">
        <f>Sheet1!$W$4</f>
        <v>2691</v>
      </c>
      <c r="L29">
        <f>Sheet1!$W$4</f>
        <v>2691</v>
      </c>
      <c r="M29">
        <f>Sheet1!$W$4</f>
        <v>2691</v>
      </c>
      <c r="N29">
        <f>Sheet1!$W$4</f>
        <v>2691</v>
      </c>
      <c r="O29">
        <f>Sheet1!$W$4</f>
        <v>2691</v>
      </c>
    </row>
    <row r="30" spans="1:15" x14ac:dyDescent="0.35">
      <c r="A30" t="s">
        <v>40</v>
      </c>
      <c r="B30">
        <f>B28/B29</f>
        <v>147.70904821837524</v>
      </c>
      <c r="C30">
        <f t="shared" ref="C30:N30" si="5">C28/C29</f>
        <v>136.64292148720418</v>
      </c>
      <c r="D30">
        <f t="shared" si="5"/>
        <v>142.31005003868009</v>
      </c>
      <c r="E30">
        <f ca="1">E6*Sheet1!I4</f>
        <v>321.787102</v>
      </c>
      <c r="G30">
        <f t="shared" si="5"/>
        <v>150.0348760029093</v>
      </c>
      <c r="H30">
        <f t="shared" si="5"/>
        <v>136.59218343795945</v>
      </c>
      <c r="I30">
        <f t="shared" si="5"/>
        <v>139.99982615344933</v>
      </c>
      <c r="J30">
        <f ca="1">J6*Sheet1!S4</f>
        <v>338.96839170127311</v>
      </c>
      <c r="L30">
        <f t="shared" si="5"/>
        <v>152.14983229096552</v>
      </c>
      <c r="M30">
        <f t="shared" si="5"/>
        <v>127.02361387016556</v>
      </c>
      <c r="N30">
        <f t="shared" si="5"/>
        <v>136.99164993595952</v>
      </c>
      <c r="O30">
        <f ca="1">O6*Sheet1!S4</f>
        <v>309.55158813772977</v>
      </c>
    </row>
    <row r="33" spans="1:15" x14ac:dyDescent="0.35">
      <c r="A33" t="s">
        <v>37</v>
      </c>
    </row>
    <row r="34" spans="1:15" x14ac:dyDescent="0.35">
      <c r="A34" t="s">
        <v>12</v>
      </c>
      <c r="B34">
        <f>Sheet1!$V$4</f>
        <v>50913</v>
      </c>
      <c r="C34">
        <f>Sheet1!$V$4</f>
        <v>50913</v>
      </c>
      <c r="D34">
        <f>Sheet1!$V$4</f>
        <v>50913</v>
      </c>
      <c r="E34">
        <f>Sheet1!$V$4</f>
        <v>50913</v>
      </c>
      <c r="G34">
        <f>Sheet1!$V$4</f>
        <v>50913</v>
      </c>
      <c r="H34">
        <f>Sheet1!$V$4</f>
        <v>50913</v>
      </c>
      <c r="I34">
        <f>Sheet1!$V$4</f>
        <v>50913</v>
      </c>
      <c r="J34">
        <f>Sheet1!$V$4</f>
        <v>50913</v>
      </c>
      <c r="L34">
        <f>Sheet1!$V$4</f>
        <v>50913</v>
      </c>
      <c r="M34">
        <f>Sheet1!$V$4</f>
        <v>50913</v>
      </c>
      <c r="N34">
        <f>Sheet1!$V$4</f>
        <v>50913</v>
      </c>
      <c r="O34">
        <f>Sheet1!$V$4</f>
        <v>50913</v>
      </c>
    </row>
    <row r="35" spans="1:15" x14ac:dyDescent="0.35">
      <c r="A35" t="s">
        <v>38</v>
      </c>
      <c r="B35">
        <f>B33-B34</f>
        <v>-50913</v>
      </c>
      <c r="C35">
        <f t="shared" ref="C35:O35" si="6">C33-C34</f>
        <v>-50913</v>
      </c>
      <c r="D35">
        <f t="shared" si="6"/>
        <v>-50913</v>
      </c>
      <c r="E35">
        <f t="shared" si="6"/>
        <v>-50913</v>
      </c>
      <c r="G35">
        <f t="shared" si="6"/>
        <v>-50913</v>
      </c>
      <c r="H35">
        <f t="shared" si="6"/>
        <v>-50913</v>
      </c>
      <c r="I35">
        <f t="shared" si="6"/>
        <v>-50913</v>
      </c>
      <c r="J35">
        <f t="shared" si="6"/>
        <v>-50913</v>
      </c>
      <c r="L35">
        <f t="shared" si="6"/>
        <v>-50913</v>
      </c>
      <c r="M35">
        <f t="shared" si="6"/>
        <v>-50913</v>
      </c>
      <c r="N35">
        <f t="shared" si="6"/>
        <v>-50913</v>
      </c>
      <c r="O35">
        <f t="shared" si="6"/>
        <v>-50913</v>
      </c>
    </row>
    <row r="36" spans="1:15" x14ac:dyDescent="0.35">
      <c r="A36" t="s">
        <v>39</v>
      </c>
      <c r="B36">
        <f>Sheet1!$W$4</f>
        <v>2691</v>
      </c>
      <c r="C36">
        <f>Sheet1!$W$4</f>
        <v>2691</v>
      </c>
      <c r="D36">
        <f>Sheet1!$W$4</f>
        <v>2691</v>
      </c>
      <c r="E36">
        <f>Sheet1!$W$4</f>
        <v>2691</v>
      </c>
      <c r="G36">
        <f>Sheet1!$W$4</f>
        <v>2691</v>
      </c>
      <c r="H36">
        <f>Sheet1!$W$4</f>
        <v>2691</v>
      </c>
      <c r="I36">
        <f>Sheet1!$W$4</f>
        <v>2691</v>
      </c>
      <c r="J36">
        <f>Sheet1!$W$4</f>
        <v>2691</v>
      </c>
      <c r="L36">
        <f>Sheet1!$W$4</f>
        <v>2691</v>
      </c>
      <c r="M36">
        <f>Sheet1!$W$4</f>
        <v>2691</v>
      </c>
      <c r="N36">
        <f>Sheet1!$W$4</f>
        <v>2691</v>
      </c>
      <c r="O36">
        <f>Sheet1!$W$4</f>
        <v>2691</v>
      </c>
    </row>
    <row r="37" spans="1:15" x14ac:dyDescent="0.35">
      <c r="A37" t="s">
        <v>40</v>
      </c>
      <c r="B37">
        <f>B35/B36</f>
        <v>-18.91973244147157</v>
      </c>
      <c r="C37">
        <f t="shared" ref="C37:O37" si="7">C35/C36</f>
        <v>-18.91973244147157</v>
      </c>
      <c r="D37">
        <f t="shared" si="7"/>
        <v>-18.91973244147157</v>
      </c>
      <c r="E37">
        <f t="shared" si="7"/>
        <v>-18.91973244147157</v>
      </c>
      <c r="G37">
        <f t="shared" si="7"/>
        <v>-18.91973244147157</v>
      </c>
      <c r="H37">
        <f t="shared" si="7"/>
        <v>-18.91973244147157</v>
      </c>
      <c r="I37">
        <f t="shared" si="7"/>
        <v>-18.91973244147157</v>
      </c>
      <c r="J37">
        <f t="shared" si="7"/>
        <v>-18.91973244147157</v>
      </c>
      <c r="L37">
        <f t="shared" si="7"/>
        <v>-18.91973244147157</v>
      </c>
      <c r="M37">
        <f t="shared" si="7"/>
        <v>-18.91973244147157</v>
      </c>
      <c r="N37">
        <f t="shared" si="7"/>
        <v>-18.91973244147157</v>
      </c>
      <c r="O37">
        <f t="shared" si="7"/>
        <v>-18.91973244147157</v>
      </c>
    </row>
    <row r="46" spans="1:15" x14ac:dyDescent="0.35">
      <c r="E46"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EFB5-E3FB-431C-AC99-C488E31AAA81}">
  <dimension ref="A1:E19"/>
  <sheetViews>
    <sheetView workbookViewId="0">
      <selection activeCell="E18" sqref="E18"/>
    </sheetView>
  </sheetViews>
  <sheetFormatPr defaultRowHeight="14.5" x14ac:dyDescent="0.35"/>
  <cols>
    <col min="1" max="1" width="33.26953125" customWidth="1"/>
    <col min="2" max="2" width="13" customWidth="1"/>
    <col min="3" max="3" width="11.1796875" customWidth="1"/>
    <col min="4" max="4" width="11.81640625" customWidth="1"/>
  </cols>
  <sheetData>
    <row r="1" spans="1:5" ht="15" thickBot="1" x14ac:dyDescent="0.4">
      <c r="A1" s="11" t="s">
        <v>42</v>
      </c>
      <c r="B1" s="2"/>
      <c r="C1" s="2"/>
      <c r="D1" s="2"/>
    </row>
    <row r="2" spans="1:5" x14ac:dyDescent="0.35">
      <c r="A2" t="s">
        <v>43</v>
      </c>
      <c r="B2" s="12" t="s">
        <v>44</v>
      </c>
      <c r="C2" s="12" t="s">
        <v>45</v>
      </c>
      <c r="D2" s="12" t="s">
        <v>46</v>
      </c>
    </row>
    <row r="3" spans="1:5" x14ac:dyDescent="0.35">
      <c r="A3" s="13" t="s">
        <v>47</v>
      </c>
      <c r="B3" s="14">
        <f>MIN(Sheet2!I16,Sheet2!N16,Sheet2!I23,Sheet2!N23,Sheet2!I30,Sheet2!N30)</f>
        <v>69.610518093019138</v>
      </c>
      <c r="C3" s="14">
        <f>MAX(Sheet2!I16,Sheet2!N16,Sheet2!I23,Sheet2!N23,Sheet2!I30,Sheet2!N30)</f>
        <v>365.3645965736373</v>
      </c>
      <c r="D3" s="15">
        <f>Sheet2!I30</f>
        <v>139.99982615344933</v>
      </c>
    </row>
    <row r="4" spans="1:5" x14ac:dyDescent="0.35">
      <c r="A4" s="13" t="s">
        <v>48</v>
      </c>
      <c r="B4" s="14">
        <f>MIN(Sheet2!C16,Sheet2!C23,Sheet2!C30)</f>
        <v>59.361120021964815</v>
      </c>
      <c r="C4" s="14">
        <f>MAX(Sheet2!C16,Sheet2!C23,Sheet2!C30)</f>
        <v>328.01539358186193</v>
      </c>
      <c r="D4" s="15">
        <f>Sheet2!C30</f>
        <v>136.64292148720418</v>
      </c>
    </row>
    <row r="5" spans="1:5" x14ac:dyDescent="0.35">
      <c r="A5" s="13" t="s">
        <v>49</v>
      </c>
      <c r="B5" s="14">
        <f>MIN(Sheet2!D16,Sheet2!D23,Sheet2!D30)</f>
        <v>65.497839950591825</v>
      </c>
      <c r="C5" s="14">
        <f>MAX(Sheet2!D16,Sheet2!D23,Sheet2!D30)</f>
        <v>1027.5440661705502</v>
      </c>
      <c r="D5" s="15">
        <f>Sheet2!D30</f>
        <v>142.31005003868009</v>
      </c>
    </row>
    <row r="6" spans="1:5" x14ac:dyDescent="0.35">
      <c r="A6" s="13" t="s">
        <v>50</v>
      </c>
      <c r="B6" s="14">
        <f ca="1">MIN(Sheet2!E16,Sheet2!E23,Sheet2!E30)</f>
        <v>191.42068</v>
      </c>
      <c r="C6" s="14">
        <f ca="1">MAX(Sheet2!E16,Sheet2!E23,Sheet2!E30)</f>
        <v>345.624548</v>
      </c>
      <c r="D6" s="15">
        <f ca="1">Sheet2!E30</f>
        <v>321.787102</v>
      </c>
    </row>
    <row r="7" spans="1:5" x14ac:dyDescent="0.35">
      <c r="A7" s="13" t="s">
        <v>51</v>
      </c>
      <c r="B7" s="14">
        <f ca="1">MIN(Sheet2!J16,Sheet2!J23,Sheet2!J30,Sheet2!O16,Sheet2!O23,Sheet2!O30)</f>
        <v>86.361742500000005</v>
      </c>
      <c r="C7" s="14">
        <f ca="1">MAX(Sheet2!J16,Sheet2!J23,Sheet2!J30,Sheet2!O16,Sheet2!O23,Sheet2!O30)</f>
        <v>359.29021803802283</v>
      </c>
      <c r="D7" s="15">
        <f ca="1">Sheet2!J30</f>
        <v>338.96839170127311</v>
      </c>
    </row>
    <row r="8" spans="1:5" x14ac:dyDescent="0.35">
      <c r="A8" s="13"/>
      <c r="B8" s="14"/>
      <c r="C8" s="14"/>
      <c r="D8" s="15"/>
    </row>
    <row r="9" spans="1:5" x14ac:dyDescent="0.35">
      <c r="A9" s="13" t="s">
        <v>52</v>
      </c>
      <c r="B9" s="14"/>
      <c r="C9" s="14"/>
      <c r="D9" s="15"/>
    </row>
    <row r="10" spans="1:5" x14ac:dyDescent="0.35">
      <c r="A10" s="13" t="s">
        <v>53</v>
      </c>
      <c r="B10" s="14">
        <f ca="1">MIN(D3:D7)</f>
        <v>136.64292148720418</v>
      </c>
      <c r="C10" s="14">
        <f ca="1">MAX(D3:D7)</f>
        <v>338.96839170127311</v>
      </c>
      <c r="D10" s="15">
        <f ca="1">(B10+C10)/2</f>
        <v>237.80565659423866</v>
      </c>
    </row>
    <row r="11" spans="1:5" x14ac:dyDescent="0.35">
      <c r="E11" s="15"/>
    </row>
    <row r="15" spans="1:5" x14ac:dyDescent="0.35">
      <c r="B15" s="15">
        <f ca="1">AVERAGE(B3:B7)</f>
        <v>94.450380113115159</v>
      </c>
      <c r="C15" s="15">
        <f ca="1">AVERAGE(C3:C7)</f>
        <v>485.16776447281444</v>
      </c>
      <c r="D15" s="15">
        <f ca="1">AVERAGE(D3:D7)</f>
        <v>215.94165827612133</v>
      </c>
      <c r="E15" s="15">
        <f ca="1">B15+C15+D15</f>
        <v>795.5598028620509</v>
      </c>
    </row>
    <row r="16" spans="1:5" x14ac:dyDescent="0.35">
      <c r="D16" s="15">
        <f ca="1">(D10+E16)/2</f>
        <v>251.49612877412781</v>
      </c>
      <c r="E16" s="15">
        <f ca="1">E15/3</f>
        <v>265.18660095401697</v>
      </c>
    </row>
    <row r="17" spans="2:5" x14ac:dyDescent="0.35">
      <c r="B17" s="15"/>
      <c r="D17" s="15">
        <f ca="1">D16+153</f>
        <v>404.49612877412778</v>
      </c>
      <c r="E17" s="15">
        <f ca="1">D17/2</f>
        <v>202.24806438706389</v>
      </c>
    </row>
    <row r="18" spans="2:5" x14ac:dyDescent="0.35">
      <c r="B18" s="15"/>
    </row>
    <row r="19" spans="2:5" x14ac:dyDescent="0.35">
      <c r="B1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Priyansh Bothra</dc:creator>
  <cp:keywords/>
  <dc:description/>
  <cp:lastModifiedBy>Young Lee</cp:lastModifiedBy>
  <cp:revision/>
  <dcterms:created xsi:type="dcterms:W3CDTF">2023-11-14T01:54:25Z</dcterms:created>
  <dcterms:modified xsi:type="dcterms:W3CDTF">2026-04-02T12:37:08Z</dcterms:modified>
  <cp:category/>
  <cp:contentStatus/>
</cp:coreProperties>
</file>